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8_{4288F586-3120-4FF1-860D-CC28513942F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QA Summary" sheetId="1" r:id="rId1"/>
    <sheet name="Test Setup" sheetId="2" r:id="rId2"/>
    <sheet name="Resource Onboarding" sheetId="3" r:id="rId3"/>
    <sheet name="Workspace Switching" sheetId="4" r:id="rId4"/>
    <sheet name="Deployment" sheetId="5" r:id="rId5"/>
    <sheet name="Inspection Completion" sheetId="6" r:id="rId6"/>
    <sheet name="Invoice Lifecycle" sheetId="7" r:id="rId7"/>
    <sheet name="Gusto Payouts" sheetId="8" r:id="rId8"/>
    <sheet name="Scheduler Regression" sheetId="9" r:id="rId9"/>
    <sheet name="Employees Owners" sheetId="10" r:id="rId10"/>
    <sheet name="Service Model" sheetId="11" r:id="rId11"/>
    <sheet name="Help Center" sheetId="12" r:id="rId12"/>
    <sheet name="Notifications Email" sheetId="13" r:id="rId13"/>
    <sheet name="Cleanup Smoke" sheetId="14" r:id="rId14"/>
    <sheet name="Exit Criteria" sheetId="15" r:id="rId15"/>
  </sheets>
  <definedNames>
    <definedName name="_xlnm._FilterDatabase" localSheetId="1" hidden="1">'Test Setup'!$A$5:$K$15</definedName>
    <definedName name="_xlnm.Print_Area" localSheetId="13">'Cleanup Smoke'!$A1:$K15</definedName>
    <definedName name="_xlnm.Print_Area" localSheetId="4">Deployment!$A1:$K15</definedName>
    <definedName name="_xlnm.Print_Area" localSheetId="9">'Employees Owners'!$A1:$K10</definedName>
    <definedName name="_xlnm.Print_Area" localSheetId="14">'Exit Criteria'!$A1:$K13</definedName>
    <definedName name="_xlnm.Print_Area" localSheetId="7">'Gusto Payouts'!$A1:$K16</definedName>
    <definedName name="_xlnm.Print_Area" localSheetId="11">'Help Center'!$A1:$K12</definedName>
    <definedName name="_xlnm.Print_Area" localSheetId="5">'Inspection Completion'!$A1:$K16</definedName>
    <definedName name="_xlnm.Print_Area" localSheetId="6">'Invoice Lifecycle'!$A1:$K19</definedName>
    <definedName name="_xlnm.Print_Area" localSheetId="12">'Notifications Email'!$A1:$K11</definedName>
    <definedName name="_xlnm.Print_Area" localSheetId="0">'QA Summary'!$A1:$L19</definedName>
    <definedName name="_xlnm.Print_Area" localSheetId="2">'Resource Onboarding'!$A1:$K13</definedName>
    <definedName name="_xlnm.Print_Area" localSheetId="8">'Scheduler Regression'!$A1:$K15</definedName>
    <definedName name="_xlnm.Print_Area" localSheetId="10">'Service Model'!$A1:$K22</definedName>
    <definedName name="_xlnm.Print_Area" localSheetId="1">'Test Setup'!$A1:$K15</definedName>
    <definedName name="_xlnm.Print_Area" localSheetId="3">'Workspace Switching'!$A1:$K11</definedName>
    <definedName name="_xlnm.Print_Titles" localSheetId="13">'Cleanup Smoke'!$1:$5</definedName>
    <definedName name="_xlnm.Print_Titles" localSheetId="4">Deployment!$1:$5</definedName>
    <definedName name="_xlnm.Print_Titles" localSheetId="9">'Employees Owners'!$1:$5</definedName>
    <definedName name="_xlnm.Print_Titles" localSheetId="14">'Exit Criteria'!$1:$5</definedName>
    <definedName name="_xlnm.Print_Titles" localSheetId="7">'Gusto Payouts'!$1:$5</definedName>
    <definedName name="_xlnm.Print_Titles" localSheetId="11">'Help Center'!$1:$5</definedName>
    <definedName name="_xlnm.Print_Titles" localSheetId="5">'Inspection Completion'!$1:$5</definedName>
    <definedName name="_xlnm.Print_Titles" localSheetId="6">'Invoice Lifecycle'!$1:$5</definedName>
    <definedName name="_xlnm.Print_Titles" localSheetId="12">'Notifications Email'!$1:$5</definedName>
    <definedName name="_xlnm.Print_Titles" localSheetId="0">'QA Summary'!$1:$5</definedName>
    <definedName name="_xlnm.Print_Titles" localSheetId="2">'Resource Onboarding'!$1:$5</definedName>
    <definedName name="_xlnm.Print_Titles" localSheetId="8">'Scheduler Regression'!$1:$5</definedName>
    <definedName name="_xlnm.Print_Titles" localSheetId="10">'Service Model'!$1:$5</definedName>
    <definedName name="_xlnm.Print_Titles" localSheetId="1">'Test Setup'!$1:$5</definedName>
    <definedName name="_xlnm.Print_Titles" localSheetId="3">'Workspace Switching'!$1:$5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5" l="1"/>
  <c r="E19" i="1" s="1"/>
  <c r="F3" i="15"/>
  <c r="D3" i="15"/>
  <c r="C19" i="1" s="1"/>
  <c r="I19" i="1" s="1"/>
  <c r="B3" i="15"/>
  <c r="J3" i="15" s="1"/>
  <c r="H3" i="14"/>
  <c r="F3" i="14"/>
  <c r="D18" i="1" s="1"/>
  <c r="K18" i="1" s="1"/>
  <c r="D3" i="14"/>
  <c r="B3" i="14"/>
  <c r="J3" i="14" s="1"/>
  <c r="H3" i="13"/>
  <c r="F3" i="13"/>
  <c r="D17" i="1" s="1"/>
  <c r="D3" i="13"/>
  <c r="C17" i="1" s="1"/>
  <c r="I17" i="1" s="1"/>
  <c r="B3" i="13"/>
  <c r="J3" i="13" s="1"/>
  <c r="J3" i="12"/>
  <c r="H3" i="12"/>
  <c r="F3" i="12"/>
  <c r="D3" i="12"/>
  <c r="B3" i="12"/>
  <c r="J3" i="11"/>
  <c r="H3" i="11"/>
  <c r="F3" i="11"/>
  <c r="D3" i="11"/>
  <c r="C15" i="1" s="1"/>
  <c r="I15" i="1" s="1"/>
  <c r="B3" i="11"/>
  <c r="H3" i="10"/>
  <c r="F3" i="10"/>
  <c r="D3" i="10"/>
  <c r="C14" i="1" s="1"/>
  <c r="B3" i="10"/>
  <c r="J3" i="10" s="1"/>
  <c r="H3" i="9"/>
  <c r="E13" i="1" s="1"/>
  <c r="F3" i="9"/>
  <c r="D3" i="9"/>
  <c r="C13" i="1" s="1"/>
  <c r="I13" i="1" s="1"/>
  <c r="B3" i="9"/>
  <c r="J3" i="9" s="1"/>
  <c r="H3" i="8"/>
  <c r="E12" i="1" s="1"/>
  <c r="F3" i="8"/>
  <c r="D12" i="1" s="1"/>
  <c r="D3" i="8"/>
  <c r="B3" i="8"/>
  <c r="J3" i="8" s="1"/>
  <c r="H3" i="7"/>
  <c r="E11" i="1" s="1"/>
  <c r="F3" i="7"/>
  <c r="D11" i="1" s="1"/>
  <c r="D3" i="7"/>
  <c r="C11" i="1" s="1"/>
  <c r="B3" i="7"/>
  <c r="J3" i="7" s="1"/>
  <c r="J3" i="6"/>
  <c r="H3" i="6"/>
  <c r="E10" i="1" s="1"/>
  <c r="F3" i="6"/>
  <c r="D10" i="1" s="1"/>
  <c r="D3" i="6"/>
  <c r="C10" i="1" s="1"/>
  <c r="B3" i="6"/>
  <c r="H3" i="5"/>
  <c r="E9" i="1" s="1"/>
  <c r="F3" i="5"/>
  <c r="D9" i="1" s="1"/>
  <c r="D3" i="5"/>
  <c r="C9" i="1" s="1"/>
  <c r="B3" i="5"/>
  <c r="J3" i="5" s="1"/>
  <c r="J3" i="4"/>
  <c r="H3" i="4"/>
  <c r="E8" i="1" s="1"/>
  <c r="F3" i="4"/>
  <c r="D8" i="1" s="1"/>
  <c r="D3" i="4"/>
  <c r="C8" i="1" s="1"/>
  <c r="B3" i="4"/>
  <c r="J3" i="3"/>
  <c r="H3" i="3"/>
  <c r="E7" i="1" s="1"/>
  <c r="F3" i="3"/>
  <c r="D7" i="1" s="1"/>
  <c r="D3" i="3"/>
  <c r="C7" i="1" s="1"/>
  <c r="B3" i="3"/>
  <c r="H3" i="2"/>
  <c r="E6" i="1" s="1"/>
  <c r="F3" i="2"/>
  <c r="D6" i="1" s="1"/>
  <c r="D3" i="2"/>
  <c r="C6" i="1" s="1"/>
  <c r="B3" i="2"/>
  <c r="J3" i="2" s="1"/>
  <c r="H19" i="1"/>
  <c r="G19" i="1"/>
  <c r="F19" i="1"/>
  <c r="D19" i="1"/>
  <c r="K19" i="1" s="1"/>
  <c r="B19" i="1"/>
  <c r="H18" i="1"/>
  <c r="G18" i="1"/>
  <c r="F18" i="1"/>
  <c r="E18" i="1"/>
  <c r="C18" i="1"/>
  <c r="B18" i="1"/>
  <c r="I18" i="1" s="1"/>
  <c r="H17" i="1"/>
  <c r="G17" i="1"/>
  <c r="F17" i="1"/>
  <c r="E17" i="1"/>
  <c r="B17" i="1"/>
  <c r="H16" i="1"/>
  <c r="G16" i="1"/>
  <c r="F16" i="1"/>
  <c r="E16" i="1"/>
  <c r="D16" i="1"/>
  <c r="K16" i="1" s="1"/>
  <c r="C16" i="1"/>
  <c r="B16" i="1"/>
  <c r="I16" i="1" s="1"/>
  <c r="H15" i="1"/>
  <c r="G15" i="1"/>
  <c r="F15" i="1"/>
  <c r="E15" i="1"/>
  <c r="D15" i="1"/>
  <c r="K15" i="1" s="1"/>
  <c r="B15" i="1"/>
  <c r="H14" i="1"/>
  <c r="G14" i="1"/>
  <c r="F14" i="1"/>
  <c r="E14" i="1"/>
  <c r="D14" i="1"/>
  <c r="H13" i="1"/>
  <c r="G13" i="1"/>
  <c r="F13" i="1"/>
  <c r="D13" i="1"/>
  <c r="B13" i="1"/>
  <c r="H12" i="1"/>
  <c r="G12" i="1"/>
  <c r="F12" i="1"/>
  <c r="C12" i="1"/>
  <c r="H11" i="1"/>
  <c r="G11" i="1"/>
  <c r="F11" i="1"/>
  <c r="H10" i="1"/>
  <c r="G10" i="1"/>
  <c r="F10" i="1"/>
  <c r="B10" i="1"/>
  <c r="H9" i="1"/>
  <c r="G9" i="1"/>
  <c r="F9" i="1"/>
  <c r="B9" i="1"/>
  <c r="H8" i="1"/>
  <c r="G8" i="1"/>
  <c r="F8" i="1"/>
  <c r="B8" i="1"/>
  <c r="H7" i="1"/>
  <c r="G7" i="1"/>
  <c r="F7" i="1"/>
  <c r="B7" i="1"/>
  <c r="H6" i="1"/>
  <c r="G6" i="1"/>
  <c r="F6" i="1"/>
  <c r="I10" i="1" l="1"/>
  <c r="K10" i="1"/>
  <c r="I9" i="1"/>
  <c r="K8" i="1"/>
  <c r="I8" i="1"/>
  <c r="I7" i="1"/>
  <c r="H3" i="1"/>
  <c r="K9" i="1"/>
  <c r="F3" i="1"/>
  <c r="K11" i="1"/>
  <c r="D3" i="1"/>
  <c r="K7" i="1"/>
  <c r="K13" i="1"/>
  <c r="K17" i="1"/>
  <c r="B11" i="1"/>
  <c r="I11" i="1" s="1"/>
  <c r="B12" i="1"/>
  <c r="I12" i="1" s="1"/>
  <c r="B6" i="1"/>
  <c r="K6" i="1" s="1"/>
  <c r="B14" i="1"/>
  <c r="I14" i="1" s="1"/>
  <c r="B3" i="1" l="1"/>
  <c r="J3" i="1" s="1"/>
  <c r="I6" i="1"/>
  <c r="K14" i="1"/>
  <c r="K12" i="1"/>
</calcChain>
</file>

<file path=xl/sharedStrings.xml><?xml version="1.0" encoding="utf-8"?>
<sst xmlns="http://schemas.openxmlformats.org/spreadsheetml/2006/main" count="1673" uniqueCount="756">
  <si>
    <t>DEV Changes QA Tracker</t>
  </si>
  <si>
    <t>One worksheet per QA module. Use each module’s Status dropdown, then return here for the live roll-up. Attach evidence or a defect link for every failure or blocker.</t>
  </si>
  <si>
    <t>Total Cases</t>
  </si>
  <si>
    <t>Passed</t>
  </si>
  <si>
    <t>Failed</t>
  </si>
  <si>
    <t>Blocked</t>
  </si>
  <si>
    <t>Complete %</t>
  </si>
  <si>
    <t>Build</t>
  </si>
  <si>
    <t>DEV - 2026-08-02</t>
  </si>
  <si>
    <t>Module</t>
  </si>
  <si>
    <t>Total</t>
  </si>
  <si>
    <t>Pass</t>
  </si>
  <si>
    <t>Fail</t>
  </si>
  <si>
    <t>In Progress</t>
  </si>
  <si>
    <t>Not Started</t>
  </si>
  <si>
    <t>N/A</t>
  </si>
  <si>
    <t>Owner</t>
  </si>
  <si>
    <t>Overall Status</t>
  </si>
  <si>
    <t>Notes</t>
  </si>
  <si>
    <t>Test Setup</t>
  </si>
  <si>
    <t/>
  </si>
  <si>
    <t>Resource Onboarding</t>
  </si>
  <si>
    <t>Workspace Switching</t>
  </si>
  <si>
    <t>Deployment</t>
  </si>
  <si>
    <t>Inspection Completion</t>
  </si>
  <si>
    <t>Invoice Lifecycle</t>
  </si>
  <si>
    <t>Gusto Payouts</t>
  </si>
  <si>
    <t>Scheduler Regression</t>
  </si>
  <si>
    <t>Employees Owners</t>
  </si>
  <si>
    <t>Service Model</t>
  </si>
  <si>
    <t>Help Center</t>
  </si>
  <si>
    <t>Notifications Email</t>
  </si>
  <si>
    <t>Cleanup Smoke</t>
  </si>
  <si>
    <t>Exit Criteria</t>
  </si>
  <si>
    <t>Test Setup QA</t>
  </si>
  <si>
    <t>← QA Summary</t>
  </si>
  <si>
    <t>Prepare representative users, properties, billing data, and rates before executing workflow tests.</t>
  </si>
  <si>
    <t>Completion</t>
  </si>
  <si>
    <t>Update Status in column G</t>
  </si>
  <si>
    <t>Test ID</t>
  </si>
  <si>
    <t>Priority</t>
  </si>
  <si>
    <t>Scenario</t>
  </si>
  <si>
    <t>Preconditions</t>
  </si>
  <si>
    <t>Test Steps</t>
  </si>
  <si>
    <t>Expected Outcome</t>
  </si>
  <si>
    <t>Status</t>
  </si>
  <si>
    <t>Tester</t>
  </si>
  <si>
    <t>Test Date</t>
  </si>
  <si>
    <t>Evidence / Defect Link</t>
  </si>
  <si>
    <t>SET-01</t>
  </si>
  <si>
    <t>P0</t>
  </si>
  <si>
    <t>Platform administrator account</t>
  </si>
  <si>
    <t>DEV environment is reachable.</t>
  </si>
  <si>
    <t>Confirm an active platform administrator can sign in.</t>
  </si>
  <si>
    <t>Platform administration, Resources &amp; Payables, service billing, and request-review areas are accessible.</t>
  </si>
  <si>
    <t>SET-02</t>
  </si>
  <si>
    <t>Organization administrator account</t>
  </si>
  <si>
    <t>A test organization exists.</t>
  </si>
  <si>
    <t>Confirm an organization administrator can sign in to the organization workspace.</t>
  </si>
  <si>
    <t>Organization administration and service-model request features are accessible without platform-only permissions.</t>
  </si>
  <si>
    <t>SET-03</t>
  </si>
  <si>
    <t>Assigned property manager</t>
  </si>
  <si>
    <t>Property A belongs to the test organization.</t>
  </si>
  <si>
    <t>Assign a property manager to Property A and confirm sign-in.</t>
  </si>
  <si>
    <t>The manager can access Property A review flows and cannot access unassigned properties.</t>
  </si>
  <si>
    <t>SET-04</t>
  </si>
  <si>
    <t>Dual-workspace submitter</t>
  </si>
  <si>
    <t>An existing organization submitter email is available.</t>
  </si>
  <si>
    <t>Record the submitter identity for later contractor linking.</t>
  </si>
  <si>
    <t>The same identity can be used to verify organization/resource workspace switching without duplication.</t>
  </si>
  <si>
    <t>SET-05</t>
  </si>
  <si>
    <t>New contractor email</t>
  </si>
  <si>
    <t>Use an email that has never signed in to DEV.</t>
  </si>
  <si>
    <t>Record the address for contractor invitation testing.</t>
  </si>
  <si>
    <t>The address is ready for a resource-only onboarding path.</t>
  </si>
  <si>
    <t>SET-06</t>
  </si>
  <si>
    <t>P1</t>
  </si>
  <si>
    <t>Employee or owner resource</t>
  </si>
  <si>
    <t>An employee or owner relationship can be created.</t>
  </si>
  <si>
    <t>Create or identify an active employee/owner resource.</t>
  </si>
  <si>
    <t>The resource is available for non-contractor scheduling and payable-exclusion tests.</t>
  </si>
  <si>
    <t>SET-07</t>
  </si>
  <si>
    <t>Ordinary organization user</t>
  </si>
  <si>
    <t>A non-admin, non-manager organization account exists.</t>
  </si>
  <si>
    <t>Confirm the user can sign in.</t>
  </si>
  <si>
    <t>The account is ready for permission-denial checks.</t>
  </si>
  <si>
    <t>SET-08</t>
  </si>
  <si>
    <t>Property A billing configuration</t>
  </si>
  <si>
    <t>Property A is managed or hybrid and eligible for deployment.</t>
  </si>
  <si>
    <t>Set a billing code, customer amount, assigned property manager, and accounts-payable email.</t>
  </si>
  <si>
    <t>Property A is fully configured for assignment, invoice, review, and AP delivery tests.</t>
  </si>
  <si>
    <t>SET-09</t>
  </si>
  <si>
    <t>Property B exclusion case</t>
  </si>
  <si>
    <t>Property B is in the same test organization.</t>
  </si>
  <si>
    <t>Leave the contractor undeployed to Property B.</t>
  </si>
  <si>
    <t>Property B can prove property-scoped resource eligibility.</t>
  </si>
  <si>
    <t>SET-10</t>
  </si>
  <si>
    <t>Rate fixtures</t>
  </si>
  <si>
    <t>A contractor profile is available.</t>
  </si>
  <si>
    <t>Set the contractor default to $75 and prepare a Property A override of $90.</t>
  </si>
  <si>
    <t>Tests can verify rate overrides and immutable assignment snapshots.</t>
  </si>
  <si>
    <t>Resource Onboarding QA</t>
  </si>
  <si>
    <t>Validate contractor linking, invitations, eligibility gates, activation, and suspension behavior.</t>
  </si>
  <si>
    <t>ONB-01</t>
  </si>
  <si>
    <t>Open Resources &amp; Payables</t>
  </si>
  <si>
    <t>Signed in as a platform administrator.</t>
  </si>
  <si>
    <t>Open Resources &amp; Payables.</t>
  </si>
  <si>
    <t>Profiles, deployments, earnings, and payout batches are visible and load without errors.</t>
  </si>
  <si>
    <t>ONB-02</t>
  </si>
  <si>
    <t>Link an existing submitter</t>
  </si>
  <si>
    <t>Existing organization submitter is not yet a contractor.</t>
  </si>
  <si>
    <t>Add the submitter email as a contractor.</t>
  </si>
  <si>
    <t>The existing identity is linked; no duplicate user or unnecessary invitation is created.</t>
  </si>
  <si>
    <t>ONB-03</t>
  </si>
  <si>
    <t>Reject duplicate contractor email</t>
  </si>
  <si>
    <t>The submitter is already linked as a contractor.</t>
  </si>
  <si>
    <t>Attempt to add the same email again.</t>
  </si>
  <si>
    <t>The duplicate is rejected with a clear message and no second profile is created.</t>
  </si>
  <si>
    <t>ONB-04</t>
  </si>
  <si>
    <t>Invite a new contractor</t>
  </si>
  <si>
    <t>Unused email is available.</t>
  </si>
  <si>
    <t>Add the new email as a contractor.</t>
  </si>
  <si>
    <t>An invitation is created and the account begins as resource-only unless separately linked to an organization.</t>
  </si>
  <si>
    <t>ONB-05</t>
  </si>
  <si>
    <t>Block premature activation</t>
  </si>
  <si>
    <t>Contractor onboarding is incomplete in Gusto.</t>
  </si>
  <si>
    <t>Attempt to mark the contractor Active.</t>
  </si>
  <si>
    <t>Activation is refused and the UI identifies the missing Gusto prerequisite.</t>
  </si>
  <si>
    <t>ONB-06</t>
  </si>
  <si>
    <t>Complete Gusto onboarding and activate</t>
  </si>
  <si>
    <t>Contractor profile exists and is inactive.</t>
  </si>
  <si>
    <t>Mark Gusto onboarding Completed, then mark the profile Active.</t>
  </si>
  <si>
    <t>The contractor becomes active and previously entered profile/rate values remain intact.</t>
  </si>
  <si>
    <t>ONB-07</t>
  </si>
  <si>
    <t>Reject ineligible identity link</t>
  </si>
  <si>
    <t>Use an inactive, admin-only, or property-manager-only account.</t>
  </si>
  <si>
    <t>Attempt to link the account as a contractor.</t>
  </si>
  <si>
    <t>The link is rejected without changing either identity or role memberships.</t>
  </si>
  <si>
    <t>ONB-08</t>
  </si>
  <si>
    <t>Suspend a resource profile</t>
  </si>
  <si>
    <t>A dual-workspace contractor is active.</t>
  </si>
  <si>
    <t>Suspend the profile, then reauthenticate.</t>
  </si>
  <si>
    <t>Resource entitlement is removed on the next authentication while historical assignments and earnings remain available to authorized admins.</t>
  </si>
  <si>
    <t>Workspace Switching QA</t>
  </si>
  <si>
    <t>Verify identity-safe navigation between organization and resource workspaces.</t>
  </si>
  <si>
    <t>WRK-01</t>
  </si>
  <si>
    <t>Expose resource workspace after reauthentication</t>
  </si>
  <si>
    <t>Existing submitter has been linked as an active contractor.</t>
  </si>
  <si>
    <t>Sign out and sign back in.</t>
  </si>
  <si>
    <t>The Resource Portal option appears for the same identity.</t>
  </si>
  <si>
    <t>WRK-02</t>
  </si>
  <si>
    <t>Switch organization to resource</t>
  </si>
  <si>
    <t>Dual-workspace account is in the organization workspace.</t>
  </si>
  <si>
    <t>Use the workspace switcher to open Resource Portal.</t>
  </si>
  <si>
    <t>The portal opens under the same identity with only resource-authorized data.</t>
  </si>
  <si>
    <t>WRK-03</t>
  </si>
  <si>
    <t>Switch resource to organization</t>
  </si>
  <si>
    <t>Dual-workspace account is in Resource Portal.</t>
  </si>
  <si>
    <t>Switch back to the organization workspace.</t>
  </si>
  <si>
    <t>The correct organization role and access are restored.</t>
  </si>
  <si>
    <t>WRK-04</t>
  </si>
  <si>
    <t>Hide switcher for organization-only user</t>
  </si>
  <si>
    <t>User has no resource profile.</t>
  </si>
  <si>
    <t>Sign in and inspect global navigation.</t>
  </si>
  <si>
    <t>No Resource Portal switch option is shown.</t>
  </si>
  <si>
    <t>WRK-05</t>
  </si>
  <si>
    <t>Restrict resource-only account</t>
  </si>
  <si>
    <t>New contractor has no organization membership.</t>
  </si>
  <si>
    <t>Attempt to enter an organization workspace directly.</t>
  </si>
  <si>
    <t>Access is denied or redirected safely to Resource Portal.</t>
  </si>
  <si>
    <t>WRK-06</t>
  </si>
  <si>
    <t>Safe fallback after suspension</t>
  </si>
  <si>
    <t>A dual-workspace resource profile has been suspended.</t>
  </si>
  <si>
    <t>Reauthenticate and attempt to open Resource Portal.</t>
  </si>
  <si>
    <t>Resource access is denied and the user safely falls back to their authorized organization workspace.</t>
  </si>
  <si>
    <t>Deployment QA</t>
  </si>
  <si>
    <t>Validate resource deployment, property eligibility, scheduling, assignment visibility, and compensation snapshots.</t>
  </si>
  <si>
    <t>DEP-01</t>
  </si>
  <si>
    <t>Deploy contractor to Property A</t>
  </si>
  <si>
    <t>Contractor is active; Property A is managed or hybrid.</t>
  </si>
  <si>
    <t>Create an active deployment scoped to Property A.</t>
  </si>
  <si>
    <t>The deployment saves and shows the correct organization, property, dates, and active status.</t>
  </si>
  <si>
    <t>DEP-02</t>
  </si>
  <si>
    <t>Apply property rate override</t>
  </si>
  <si>
    <t>Contractor default is $75.</t>
  </si>
  <si>
    <t>Set the Property A override to $90.</t>
  </si>
  <si>
    <t>The deployment shows $90 while the contractor default remains $75.</t>
  </si>
  <si>
    <t>DEP-03</t>
  </si>
  <si>
    <t>Show deployed contractor in scheduler</t>
  </si>
  <si>
    <t>Active deployment exists for Property A.</t>
  </si>
  <si>
    <t>Open Property A scheduling and choose the Afterlight contractor source.</t>
  </si>
  <si>
    <t>The contractor appears as an eligible resource.</t>
  </si>
  <si>
    <t>DEP-04</t>
  </si>
  <si>
    <t>Exclude contractor from Property B</t>
  </si>
  <si>
    <t>Contractor is not deployed to Property B.</t>
  </si>
  <si>
    <t>Open Property B scheduling.</t>
  </si>
  <si>
    <t>The contractor does not appear and cannot be assigned by a crafted request.</t>
  </si>
  <si>
    <t>DEP-05</t>
  </si>
  <si>
    <t>Pause or end deployment</t>
  </si>
  <si>
    <t>A deployment is active.</t>
  </si>
  <si>
    <t>Pause or end it, then create a future assignment.</t>
  </si>
  <si>
    <t>The resource is unavailable for future scheduling outside the active deployment window.</t>
  </si>
  <si>
    <t>DEP-06</t>
  </si>
  <si>
    <t>Respect resource unavailability</t>
  </si>
  <si>
    <t>Resource is deployed but marked unavailable for the target date.</t>
  </si>
  <si>
    <t>Attempt to schedule the resource.</t>
  </si>
  <si>
    <t>The resource is excluded or the assignment is rejected with an availability message.</t>
  </si>
  <si>
    <t>DEP-07</t>
  </si>
  <si>
    <t>Create single-day assignment</t>
  </si>
  <si>
    <t>Resource is eligible for Property A.</t>
  </si>
  <si>
    <t>Create an assignment with a start date and no end date.</t>
  </si>
  <si>
    <t>The assignment saves and is displayed as a single-day assignment.</t>
  </si>
  <si>
    <t>DEP-08</t>
  </si>
  <si>
    <t>Display assignment card details</t>
  </si>
  <si>
    <t>Assignment exists for the contractor.</t>
  </si>
  <si>
    <t>Open Resource Portal and inspect the card.</t>
  </si>
  <si>
    <t>Organization, property, dates, instructions, and $90 compensation are displayed correctly.</t>
  </si>
  <si>
    <t>DEP-09</t>
  </si>
  <si>
    <t>Preserve assignment compensation snapshot</t>
  </si>
  <si>
    <t>An assignment was created at $90.</t>
  </si>
  <si>
    <t>Change the contractor/deployment rate after assignment creation.</t>
  </si>
  <si>
    <t>The existing assignment still shows $90; only later assignments use the new rate.</t>
  </si>
  <si>
    <t>DEP-10</t>
  </si>
  <si>
    <t>Enforce deployment date boundaries</t>
  </si>
  <si>
    <t>Deployment has explicit start and end dates.</t>
  </si>
  <si>
    <t>Try assignments immediately before, within, and after the range.</t>
  </si>
  <si>
    <t>Only dates within the active range are accepted.</t>
  </si>
  <si>
    <t>Inspection Completion QA</t>
  </si>
  <si>
    <t>Exercise contractor inspection execution, security, retry safety, PDF persistence, and earning creation.</t>
  </si>
  <si>
    <t>INS-01</t>
  </si>
  <si>
    <t>Start inspection from assignment</t>
  </si>
  <si>
    <t>An active contractor assignment is visible.</t>
  </si>
  <si>
    <t>Open the assignment card and start the inspection.</t>
  </si>
  <si>
    <t>The correct checklist loads with the expected assignment and property identity.</t>
  </si>
  <si>
    <t>INS-02</t>
  </si>
  <si>
    <t>Display assignment instructions</t>
  </si>
  <si>
    <t>Assignment includes custom instructions.</t>
  </si>
  <si>
    <t>Open the inspection experience.</t>
  </si>
  <si>
    <t>Instructions are complete, readable, and associated with the correct assignment.</t>
  </si>
  <si>
    <t>INS-03</t>
  </si>
  <si>
    <t>Block missing required field</t>
  </si>
  <si>
    <t>Inspection checklist is open.</t>
  </si>
  <si>
    <t>Leave a required field blank and submit.</t>
  </si>
  <si>
    <t>Submission is blocked and the missing field is clearly identified.</t>
  </si>
  <si>
    <t>INS-04</t>
  </si>
  <si>
    <t>Upload photos once</t>
  </si>
  <si>
    <t>Valid photos are available.</t>
  </si>
  <si>
    <t>Attach photos and submit while observing progress/retry states.</t>
  </si>
  <si>
    <t>Uploads use the secure path, progress is visible, and no duplicate asset is created.</t>
  </si>
  <si>
    <t>INS-05</t>
  </si>
  <si>
    <t>Complete assigned inspection</t>
  </si>
  <si>
    <t>All required data is valid.</t>
  </si>
  <si>
    <t>Submit the inspection.</t>
  </si>
  <si>
    <t>The inspection reaches Complete and a completion confirmation is shown.</t>
  </si>
  <si>
    <t>INS-06</t>
  </si>
  <si>
    <t>Remove completed assignment from active portal</t>
  </si>
  <si>
    <t>Inspection completed successfully.</t>
  </si>
  <si>
    <t>Return to or refresh Resource Portal.</t>
  </si>
  <si>
    <t>The completed assignment is no longer listed as active work.</t>
  </si>
  <si>
    <t>INS-07</t>
  </si>
  <si>
    <t>Prevent duplicate completion on retry</t>
  </si>
  <si>
    <t>A completion response is delayed or retried.</t>
  </si>
  <si>
    <t>Refresh/retry the completion request.</t>
  </si>
  <si>
    <t>Only one inspection, PDF, invoice, and earning are associated with the assignment.</t>
  </si>
  <si>
    <t>INS-08</t>
  </si>
  <si>
    <t>Reject property or URL tampering</t>
  </si>
  <si>
    <t>Resource has an assignment only for Property A.</t>
  </si>
  <si>
    <t>Alter a property/assignment identifier in the URL or request.</t>
  </si>
  <si>
    <t>The request is denied and no unauthorized property data is exposed.</t>
  </si>
  <si>
    <t>INS-09</t>
  </si>
  <si>
    <t>Persist completion when SES fails</t>
  </si>
  <si>
    <t>Email delivery is configured to fail.</t>
  </si>
  <si>
    <t>Complete an otherwise valid inspection.</t>
  </si>
  <si>
    <t>Inspection and PDF persist; delivery failure is recorded and no duplicate is produced.</t>
  </si>
  <si>
    <t>INS-10</t>
  </si>
  <si>
    <t>Create one contractor earning</t>
  </si>
  <si>
    <t>Contractor assignment has $90 snapshot.</t>
  </si>
  <si>
    <t>Inspect Resources &amp; Payables after completion.</t>
  </si>
  <si>
    <t>Exactly one $90 earning exists in Pending Approval for the contractor.</t>
  </si>
  <si>
    <t>INS-11</t>
  </si>
  <si>
    <t>Exclude employee/owner from payable creation</t>
  </si>
  <si>
    <t>Employee/owner assignment is available.</t>
  </si>
  <si>
    <t>Complete the same workflow as an employee/owner.</t>
  </si>
  <si>
    <t>The inspection completes but no contractor earning is created.</t>
  </si>
  <si>
    <t>Invoice Lifecycle QA</t>
  </si>
  <si>
    <t>Validate customer invoice preparation, review, revisions, AP delivery, and independent payment state.</t>
  </si>
  <si>
    <t>INV-01</t>
  </si>
  <si>
    <t>Auto-create customer invoice</t>
  </si>
  <si>
    <t>Afterlight commercial inspection completes with billing fully configured.</t>
  </si>
  <si>
    <t>Complete the inspection and open service billing.</t>
  </si>
  <si>
    <t>One platform-owned invoice and PDF are created in Awaiting Review.</t>
  </si>
  <si>
    <t>INV-02</t>
  </si>
  <si>
    <t>Verify invoice PDF fields</t>
  </si>
  <si>
    <t>Invoice PDF exists.</t>
  </si>
  <si>
    <t>Open the PDF and compare it with property, service, and performer data.</t>
  </si>
  <si>
    <t>Billing code, amount, property, service details, and performer are correct; Afterlight is the invoice owner.</t>
  </si>
  <si>
    <t>INV-03</t>
  </si>
  <si>
    <t>Deny billing access to resource</t>
  </si>
  <si>
    <t>Signed in as the contractor performer.</t>
  </si>
  <si>
    <t>Attempt to open Billing or the invoice directly.</t>
  </si>
  <si>
    <t>Billing access is denied without exposing customer amounts.</t>
  </si>
  <si>
    <t>INV-04</t>
  </si>
  <si>
    <t>Allow only assigned manager review</t>
  </si>
  <si>
    <t>Assigned and unassigned property-manager accounts exist.</t>
  </si>
  <si>
    <t>Open the invoice as each manager.</t>
  </si>
  <si>
    <t>Assigned manager can review; unassigned manager is denied.</t>
  </si>
  <si>
    <t>INV-05</t>
  </si>
  <si>
    <t>Require decline reason</t>
  </si>
  <si>
    <t>Invoice is Awaiting Review.</t>
  </si>
  <si>
    <t>Choose Decline without a reason.</t>
  </si>
  <si>
    <t>The action is rejected and invoice status does not change.</t>
  </si>
  <si>
    <t>INV-06</t>
  </si>
  <si>
    <t>Decline with reason</t>
  </si>
  <si>
    <t>Decline and enter a reason.</t>
  </si>
  <si>
    <t>Status becomes Needs Revision and the reason appears in Platform Service Billing.</t>
  </si>
  <si>
    <t>INV-07</t>
  </si>
  <si>
    <t>Invalidate stale PDF after amount change</t>
  </si>
  <si>
    <t>Invoice needs revision.</t>
  </si>
  <si>
    <t>Change the customer amount as a platform administrator.</t>
  </si>
  <si>
    <t>The prior PDF is invalidated and cannot be resent as the current invoice.</t>
  </si>
  <si>
    <t>INV-08</t>
  </si>
  <si>
    <t>Regenerate and resend revision</t>
  </si>
  <si>
    <t>Invoice amount has changed.</t>
  </si>
  <si>
    <t>Regenerate the PDF and resend for review.</t>
  </si>
  <si>
    <t>The new amount and PDF are used and status returns to Awaiting Review.</t>
  </si>
  <si>
    <t>INV-09</t>
  </si>
  <si>
    <t>Approve and send to AP</t>
  </si>
  <si>
    <t>Invoice is valid and awaiting assigned-manager review.</t>
  </si>
  <si>
    <t>Approve and send it to accounts payable.</t>
  </si>
  <si>
    <t>Status becomes Sent to AP and the expected attachment is delivered.</t>
  </si>
  <si>
    <t>INV-10</t>
  </si>
  <si>
    <t>Handle invalid AP address safely</t>
  </si>
  <si>
    <t>Set an invalid AP email.</t>
  </si>
  <si>
    <t>Attempt AP delivery.</t>
  </si>
  <si>
    <t>Status records AP Delivery Failed while the invoice and inspection remain intact.</t>
  </si>
  <si>
    <t>INV-11</t>
  </si>
  <si>
    <t>Retry AP delivery without duplication</t>
  </si>
  <si>
    <t>An AP delivery has failed.</t>
  </si>
  <si>
    <t>Correct the email and retry.</t>
  </si>
  <si>
    <t>Delivery succeeds using the same invoice; no duplicate invoice is created.</t>
  </si>
  <si>
    <t>INV-12</t>
  </si>
  <si>
    <t>Keep payout and invoice payment independent</t>
  </si>
  <si>
    <t>Invoice and contractor earning both exist.</t>
  </si>
  <si>
    <t>Mark the contractor payout paid.</t>
  </si>
  <si>
    <t>Customer invoice remains unpaid and unchanged.</t>
  </si>
  <si>
    <t>INV-13</t>
  </si>
  <si>
    <t>Mark customer invoice paid independently</t>
  </si>
  <si>
    <t>Customer invoice is sent or payable.</t>
  </si>
  <si>
    <t>Mark the customer invoice paid.</t>
  </si>
  <si>
    <t>Only customer invoice state changes; contractor earning/batch state is unchanged.</t>
  </si>
  <si>
    <t>INV-14</t>
  </si>
  <si>
    <t>Surface missing billing configuration</t>
  </si>
  <si>
    <t>Remove amount, billing code, manager, or AP data in separate runs.</t>
  </si>
  <si>
    <t>Complete an inspection for each missing field.</t>
  </si>
  <si>
    <t>Submission succeeds but the invoice shows a visible draft/preparation exception identifying the missing configuration.</t>
  </si>
  <si>
    <t>Gusto Payouts QA</t>
  </si>
  <si>
    <t>Validate earning approval, voids, payout batching, submission, payment, and onboarding safeguards.</t>
  </si>
  <si>
    <t>PAY-01</t>
  </si>
  <si>
    <t>Approve pending earning</t>
  </si>
  <si>
    <t>A contractor earning is Pending Approval.</t>
  </si>
  <si>
    <t>Approve the earning.</t>
  </si>
  <si>
    <t>Status becomes Approved and it becomes eligible for batching.</t>
  </si>
  <si>
    <t>PAY-02</t>
  </si>
  <si>
    <t>Void eligible earning with reason</t>
  </si>
  <si>
    <t>Use a Pending Approval or Approved earning.</t>
  </si>
  <si>
    <t>Void the earning and provide a reason.</t>
  </si>
  <si>
    <t>Status becomes Void and the reason is retained in audit history.</t>
  </si>
  <si>
    <t>PAY-03</t>
  </si>
  <si>
    <t>Create batch from approved earnings</t>
  </si>
  <si>
    <t>Multiple Approved earnings are selected.</t>
  </si>
  <si>
    <t>Create a Gusto batch.</t>
  </si>
  <si>
    <t>Batch count and total match the selected eligible earnings.</t>
  </si>
  <si>
    <t>PAY-04</t>
  </si>
  <si>
    <t>Exclude unapproved earning from batch</t>
  </si>
  <si>
    <t>At least one earning is not Approved.</t>
  </si>
  <si>
    <t>Attempt to include it in a batch.</t>
  </si>
  <si>
    <t>The earning is refused or excluded and the batch totals remain correct.</t>
  </si>
  <si>
    <t>PAY-05</t>
  </si>
  <si>
    <t>Generate dated grouped payout batch</t>
  </si>
  <si>
    <t>Approved earnings for one or more contractors exist.</t>
  </si>
  <si>
    <t>Create the batch with a check date.</t>
  </si>
  <si>
    <t>A date-stamped batch number is created, earnings are grouped by contractor, and state becomes payout_pending.</t>
  </si>
  <si>
    <t>PAY-06</t>
  </si>
  <si>
    <t>Protect batched earning from void</t>
  </si>
  <si>
    <t>Earning belongs to an active payout batch.</t>
  </si>
  <si>
    <t>Attempt to void it.</t>
  </si>
  <si>
    <t>The action is refused so batch totals cannot silently change.</t>
  </si>
  <si>
    <t>PAY-07</t>
  </si>
  <si>
    <t>Record Gusto submission reference</t>
  </si>
  <si>
    <t>Batch is Ready for submission.</t>
  </si>
  <si>
    <t>Record the external submission reference.</t>
  </si>
  <si>
    <t>Batch becomes Submitted and the reference is retained.</t>
  </si>
  <si>
    <t>PAY-08</t>
  </si>
  <si>
    <t>Cancel Mark Paid confirmation</t>
  </si>
  <si>
    <t>A submitted batch is open.</t>
  </si>
  <si>
    <t>Start Mark Paid, then cancel.</t>
  </si>
  <si>
    <t>No batch or earning status changes.</t>
  </si>
  <si>
    <t>PAY-09</t>
  </si>
  <si>
    <t>Confirm Mark Paid</t>
  </si>
  <si>
    <t>Confirm Mark Paid.</t>
  </si>
  <si>
    <t>Batch and all included earnings become Paid exactly once.</t>
  </si>
  <si>
    <t>PAY-10</t>
  </si>
  <si>
    <t>Reject invalid contractor payout identity</t>
  </si>
  <si>
    <t>Contractor has missing/mismatched email or incomplete onboarding.</t>
  </si>
  <si>
    <t>Attempt to create/submit a batch containing the earning.</t>
  </si>
  <si>
    <t>The batch action is refused with an actionable validation message.</t>
  </si>
  <si>
    <t>PAY-11</t>
  </si>
  <si>
    <t>Keep contractor amount independent</t>
  </si>
  <si>
    <t>Customer invoice amount differs from contractor compensation.</t>
  </si>
  <si>
    <t>Compare earning, batch, and invoice values.</t>
  </si>
  <si>
    <t>Payout uses the assignment compensation snapshot, not the customer invoice amount.</t>
  </si>
  <si>
    <t>Scheduler Regression QA</t>
  </si>
  <si>
    <t>Protect mobile layout, date handling, conflict rules, completed-assignment behavior, and role-based resource sources.</t>
  </si>
  <si>
    <t>SCH-01</t>
  </si>
  <si>
    <t>Use scheduler at 390px</t>
  </si>
  <si>
    <t>Browser dev tools or a 390px device is available.</t>
  </si>
  <si>
    <t>Open and exercise the scheduler at 390px width.</t>
  </si>
  <si>
    <t>Controls remain usable and the page has no unintended horizontal scrolling.</t>
  </si>
  <si>
    <t>SCH-02</t>
  </si>
  <si>
    <t>Correct invalid end date</t>
  </si>
  <si>
    <t>Scheduler create/edit form is open.</t>
  </si>
  <si>
    <t>Set a start date after the current end date.</t>
  </si>
  <si>
    <t>The invalid end date is cleared or corrected and cannot be saved incorrectly.</t>
  </si>
  <si>
    <t>SCH-03</t>
  </si>
  <si>
    <t>Create multi-day assignment</t>
  </si>
  <si>
    <t>Eligible resource and property exist.</t>
  </si>
  <si>
    <t>Set valid start and end dates and save.</t>
  </si>
  <si>
    <t>The exact date range is persisted and displayed.</t>
  </si>
  <si>
    <t>SCH-04</t>
  </si>
  <si>
    <t>Edit single-day assignment</t>
  </si>
  <si>
    <t>A single-day assignment exists.</t>
  </si>
  <si>
    <t>Open edit mode.</t>
  </si>
  <si>
    <t>Start date is populated and end date remains blank.</t>
  </si>
  <si>
    <t>SCH-05</t>
  </si>
  <si>
    <t>Drag assignment to new date</t>
  </si>
  <si>
    <t>Draggable scheduled assignment exists.</t>
  </si>
  <si>
    <t>Drag it to a valid date and refresh.</t>
  </si>
  <si>
    <t>Persisted dates match the new calendar position.</t>
  </si>
  <si>
    <t>SCH-06</t>
  </si>
  <si>
    <t>Reject schedule conflict</t>
  </si>
  <si>
    <t>Resource already has a conflicting active assignment.</t>
  </si>
  <si>
    <t>Attempt an overlapping assignment.</t>
  </si>
  <si>
    <t>The conflict is rejected without modifying the existing assignment.</t>
  </si>
  <si>
    <t>SCH-07</t>
  </si>
  <si>
    <t>Allow reuse after completion</t>
  </si>
  <si>
    <t>Same resource/property/date combination was completed.</t>
  </si>
  <si>
    <t>Schedule that combination again.</t>
  </si>
  <si>
    <t>The new assignment succeeds and no obsolete uniqueness constraint blocks it.</t>
  </si>
  <si>
    <t>SCH-08</t>
  </si>
  <si>
    <t>Protect completed assignment</t>
  </si>
  <si>
    <t>A completed assignment exists.</t>
  </si>
  <si>
    <t>Attempt to edit or delete it.</t>
  </si>
  <si>
    <t>The action is refused or safely constrained so completed inspection history is preserved.</t>
  </si>
  <si>
    <t>SCH-09</t>
  </si>
  <si>
    <t>Enforce manager property scope</t>
  </si>
  <si>
    <t>Property manager is not assigned to Property B.</t>
  </si>
  <si>
    <t>Attempt to schedule Property B.</t>
  </si>
  <si>
    <t>Property B is hidden or the write is rejected.</t>
  </si>
  <si>
    <t>SCH-10</t>
  </si>
  <si>
    <t>Filter fulfillment sources</t>
  </si>
  <si>
    <t>Employee/owner and contractor resources exist.</t>
  </si>
  <si>
    <t>Switch between staff and contractor fulfillment sources.</t>
  </si>
  <si>
    <t>Employee/owner appears only under the staff source and contractor only under the contractor source.</t>
  </si>
  <si>
    <t>Employees Owners QA</t>
  </si>
  <si>
    <t>Verify non-contractor resources can be deployed and scheduled without creating payables.</t>
  </si>
  <si>
    <t>PPL-01</t>
  </si>
  <si>
    <t>Create employee or owner resource</t>
  </si>
  <si>
    <t>Platform administrator is signed in.</t>
  </si>
  <si>
    <t>Add an employee/owner resource without Gusto data or a contractor rate.</t>
  </si>
  <si>
    <t>The relationship saves without requiring contractor payout fields.</t>
  </si>
  <si>
    <t>PPL-02</t>
  </si>
  <si>
    <t>Deploy and schedule staff</t>
  </si>
  <si>
    <t>Employee/owner resource is active.</t>
  </si>
  <si>
    <t>Deploy and schedule through the Afterlight staff source.</t>
  </si>
  <si>
    <t>The resource appears in the correct source and can be assigned to eligible property/dates.</t>
  </si>
  <si>
    <t>PPL-03</t>
  </si>
  <si>
    <t>Complete staff inspection without payable</t>
  </si>
  <si>
    <t>Employee/owner assignment exists.</t>
  </si>
  <si>
    <t>Complete the inspection.</t>
  </si>
  <si>
    <t>Customer invoicing may proceed, but no contractor earning is created.</t>
  </si>
  <si>
    <t>PPL-04</t>
  </si>
  <si>
    <t>Show relationship instead of earnings</t>
  </si>
  <si>
    <t>Employee/owner signs into the resource experience.</t>
  </si>
  <si>
    <t>Inspect portal summary/details.</t>
  </si>
  <si>
    <t>The employment/owner relationship is shown without contractor earning amounts.</t>
  </si>
  <si>
    <t>PPL-05</t>
  </si>
  <si>
    <t>Hide contractor payout guidance</t>
  </si>
  <si>
    <t>Employee/owner is signed in.</t>
  </si>
  <si>
    <t>Open contextual help.</t>
  </si>
  <si>
    <t>Contractor earnings/Gusto guidance is hidden or replaced with appropriate non-payable guidance.</t>
  </si>
  <si>
    <t>Service Model QA</t>
  </si>
  <si>
    <t>Validate governed service-model changes, review decisions, notifications, versioning, and future-only effects.</t>
  </si>
  <si>
    <t>SVC-01</t>
  </si>
  <si>
    <t>Show current model read-only</t>
  </si>
  <si>
    <t>Organization administrator is signed in.</t>
  </si>
  <si>
    <t>Open service-model settings.</t>
  </si>
  <si>
    <t>Current model and effective details are visible but cannot be edited directly.</t>
  </si>
  <si>
    <t>SVC-02</t>
  </si>
  <si>
    <t>Submit service-model request</t>
  </si>
  <si>
    <t>No active request exists.</t>
  </si>
  <si>
    <t>Choose a different model, provide reason/effective date, and submit.</t>
  </si>
  <si>
    <t>A Pending request is created while the current model remains unchanged.</t>
  </si>
  <si>
    <t>SVC-03</t>
  </si>
  <si>
    <t>Notify active platform administrators</t>
  </si>
  <si>
    <t>Multiple active platform admins exist.</t>
  </si>
  <si>
    <t>Submit the request.</t>
  </si>
  <si>
    <t>All active platform admins receive an informative notification/email.</t>
  </si>
  <si>
    <t>SVC-04</t>
  </si>
  <si>
    <t>Reject second active request</t>
  </si>
  <si>
    <t>A request is already Pending or awaiting organization response.</t>
  </si>
  <si>
    <t>Submit another request.</t>
  </si>
  <si>
    <t>The second active request is rejected without overwriting the first.</t>
  </si>
  <si>
    <t>SVC-05</t>
  </si>
  <si>
    <t>Deny request permission</t>
  </si>
  <si>
    <t>Sign in as a property manager or ordinary user.</t>
  </si>
  <si>
    <t>Attempt to submit a model-change request.</t>
  </si>
  <si>
    <t>Access is denied and no request is created.</t>
  </si>
  <si>
    <t>SVC-06</t>
  </si>
  <si>
    <t>Show complete platform review details</t>
  </si>
  <si>
    <t>Pending request exists.</t>
  </si>
  <si>
    <t>Open the platform review queue.</t>
  </si>
  <si>
    <t>Organization, current/requested model, reason, effective date, requester, and history are complete.</t>
  </si>
  <si>
    <t>SVC-07</t>
  </si>
  <si>
    <t>Require note for Request Info</t>
  </si>
  <si>
    <t>Choose Request Info without a note.</t>
  </si>
  <si>
    <t>Action is rejected and request status remains unchanged.</t>
  </si>
  <si>
    <t>SVC-08</t>
  </si>
  <si>
    <t>Request info with note</t>
  </si>
  <si>
    <t>Provide a note and submit Request Info.</t>
  </si>
  <si>
    <t>Status changes appropriately and the organization is notified with the note.</t>
  </si>
  <si>
    <t>SVC-09</t>
  </si>
  <si>
    <t>Organization responds to info request</t>
  </si>
  <si>
    <t>Request is awaiting organization response.</t>
  </si>
  <si>
    <t>Submit the requested response.</t>
  </si>
  <si>
    <t>Request returns to platform review and active platform admins are notified.</t>
  </si>
  <si>
    <t>SVC-10</t>
  </si>
  <si>
    <t>Require denial note</t>
  </si>
  <si>
    <t>Choose Deny without a note.</t>
  </si>
  <si>
    <t>Action is rejected and policy remains unchanged.</t>
  </si>
  <si>
    <t>SVC-11</t>
  </si>
  <si>
    <t>Deny with note</t>
  </si>
  <si>
    <t>Provide a denial note and confirm.</t>
  </si>
  <si>
    <t>Request is denied, current model remains unchanged, and history/notification include the note.</t>
  </si>
  <si>
    <t>SVC-12</t>
  </si>
  <si>
    <t>Approve request atomically</t>
  </si>
  <si>
    <t>Pending request matches current policy version.</t>
  </si>
  <si>
    <t>Approve it.</t>
  </si>
  <si>
    <t>Model/defaults update, property overrides clear, policy version increments, and status/history/notification update together.</t>
  </si>
  <si>
    <t>SVC-13</t>
  </si>
  <si>
    <t>Preserve historical work</t>
  </si>
  <si>
    <t>Assignments/invoices predate approval.</t>
  </si>
  <si>
    <t>Compare them after approval.</t>
  </si>
  <si>
    <t>Existing assignments and invoices retain their original model and monetary snapshots.</t>
  </si>
  <si>
    <t>SVC-14</t>
  </si>
  <si>
    <t>Apply new defaults prospectively</t>
  </si>
  <si>
    <t>Model change is approved.</t>
  </si>
  <si>
    <t>Create a new eligible assignment.</t>
  </si>
  <si>
    <t>The new assignment uses the newly approved defaults.</t>
  </si>
  <si>
    <t>SVC-15</t>
  </si>
  <si>
    <t>Reject stale approval</t>
  </si>
  <si>
    <t>Current model/version changed after request creation.</t>
  </si>
  <si>
    <t>Attempt to approve the stale request.</t>
  </si>
  <si>
    <t>Approval is refused and no newer policy state is overwritten.</t>
  </si>
  <si>
    <t>SVC-16</t>
  </si>
  <si>
    <t>Reject direct organization update</t>
  </si>
  <si>
    <t>Organization administrator can craft API requests.</t>
  </si>
  <si>
    <t>Attempt a direct model update, including with a passkey.</t>
  </si>
  <si>
    <t>The update is rejected; only the governed review path can change policy.</t>
  </si>
  <si>
    <t>SVC-17</t>
  </si>
  <si>
    <t>Display decision history</t>
  </si>
  <si>
    <t>Prior approved/denied/request-info decisions exist.</t>
  </si>
  <si>
    <t>Open service-model history.</t>
  </si>
  <si>
    <t>Chronological decisions, notes, actors, dates, and versions are visible.</t>
  </si>
  <si>
    <t>Help Center QA</t>
  </si>
  <si>
    <t>Verify audience-specific help content, contextual links, and article completeness.</t>
  </si>
  <si>
    <t>HLP-01</t>
  </si>
  <si>
    <t>Open public contractor setup article</t>
  </si>
  <si>
    <t>Signed out.</t>
  </si>
  <si>
    <t>Open the public contractor setup help URL.</t>
  </si>
  <si>
    <t>The intended public article loads without exposing private application data.</t>
  </si>
  <si>
    <t>HLP-02</t>
  </si>
  <si>
    <t>Show contractor guidance</t>
  </si>
  <si>
    <t>Signed in as a contractor.</t>
  </si>
  <si>
    <t>Open Help Center.</t>
  </si>
  <si>
    <t>Resource workflow and earnings/Gusto guides are visible.</t>
  </si>
  <si>
    <t>HLP-03</t>
  </si>
  <si>
    <t>Tailor employee/owner guidance</t>
  </si>
  <si>
    <t>Signed in as an employee/owner resource.</t>
  </si>
  <si>
    <t>Resource workflow help is visible while contractor earnings guidance is absent.</t>
  </si>
  <si>
    <t>HLP-04</t>
  </si>
  <si>
    <t>Show platform guidance</t>
  </si>
  <si>
    <t>Signed in as platform administrator.</t>
  </si>
  <si>
    <t>Platform, Gusto, service billing, and review guides are visible.</t>
  </si>
  <si>
    <t>HLP-05</t>
  </si>
  <si>
    <t>Restrict organization-admin help</t>
  </si>
  <si>
    <t>Signed in as organization administrator.</t>
  </si>
  <si>
    <t>Organization guidance is visible and platform-only operational content is hidden.</t>
  </si>
  <si>
    <t>HLP-06</t>
  </si>
  <si>
    <t>Open contextual help links</t>
  </si>
  <si>
    <t>Scheduler, Resources, Service Billing, and Service Delivery pages are available.</t>
  </si>
  <si>
    <t>Open each contextual help link.</t>
  </si>
  <si>
    <t>Each link lands on the relevant article and preserves a usable return path.</t>
  </si>
  <si>
    <t>HLP-07</t>
  </si>
  <si>
    <t>Load complete article catalog</t>
  </si>
  <si>
    <t>Help Center is reachable.</t>
  </si>
  <si>
    <t>Open all 16 articles.</t>
  </si>
  <si>
    <t>Every article loads with no missing assets, broken navigation, or console errors.</t>
  </si>
  <si>
    <t>Notifications Email QA</t>
  </si>
  <si>
    <t>Verify recipient routing and ensure delivery failures never roll back primary business records.</t>
  </si>
  <si>
    <t>NTF-01</t>
  </si>
  <si>
    <t>Notify resource without org membership</t>
  </si>
  <si>
    <t>Resource-only contractor is deployed and assigned.</t>
  </si>
  <si>
    <t>Create/send the assignment notification.</t>
  </si>
  <si>
    <t>The resource receives the notification despite having no organization membership.</t>
  </si>
  <si>
    <t>NTF-02</t>
  </si>
  <si>
    <t>Send successful SES attachments</t>
  </si>
  <si>
    <t>SES is functioning and an inspection/report/invoice is ready.</t>
  </si>
  <si>
    <t>Complete the workflow and inspect received messages.</t>
  </si>
  <si>
    <t>Correct recipients receive the expected report and invoice attachments.</t>
  </si>
  <si>
    <t>NTF-03</t>
  </si>
  <si>
    <t>Keep completion after SES failure</t>
  </si>
  <si>
    <t>SES is intentionally invalid.</t>
  </si>
  <si>
    <t>Complete an inspection.</t>
  </si>
  <si>
    <t>Completion and PDFs persist, an error is recorded, and retry does not duplicate artifacts.</t>
  </si>
  <si>
    <t>NTF-04</t>
  </si>
  <si>
    <t>Keep service request after email failure</t>
  </si>
  <si>
    <t>Service-model email delivery is configured to fail.</t>
  </si>
  <si>
    <t>Submit or update a service-model request.</t>
  </si>
  <si>
    <t>The in-app request/history persists and the delivery problem is visible.</t>
  </si>
  <si>
    <t>NTF-05</t>
  </si>
  <si>
    <t>Notify all active platform admins</t>
  </si>
  <si>
    <t>Multiple active and inactive platform admins exist.</t>
  </si>
  <si>
    <t>Create/update a service-model request.</t>
  </si>
  <si>
    <t>All active platform admins are notified; inactive accounts are not treated as recipients.</t>
  </si>
  <si>
    <t>NTF-06</t>
  </si>
  <si>
    <t>Route completion notifications correctly</t>
  </si>
  <si>
    <t>Contractor assignment exists for Property A.</t>
  </si>
  <si>
    <t>Notifications reference the correct resource portal, organization, property, and assignment.</t>
  </si>
  <si>
    <t>Cleanup Smoke QA</t>
  </si>
  <si>
    <t>Confirm the authentication, route, Mapbox, and dependency cleanup did not remove live behavior.</t>
  </si>
  <si>
    <t>CLN-01</t>
  </si>
  <si>
    <t>Use live client assignment route</t>
  </si>
  <si>
    <t>Authorized user and valid client/property fixtures exist.</t>
  </si>
  <si>
    <t>Call /api/client/assign-client through the supported UI/API path.</t>
  </si>
  <si>
    <t>The supported route succeeds with the expected authorization and response.</t>
  </si>
  <si>
    <t>CLN-02</t>
  </si>
  <si>
    <t>Exercise AzRoots property routes</t>
  </si>
  <si>
    <t>Authorized AzRoots test data exists.</t>
  </si>
  <si>
    <t>Run the supported property GET and PUT workflows.</t>
  </si>
  <si>
    <t>Both operations succeed with no authentication regression.</t>
  </si>
  <si>
    <t>CLN-03</t>
  </si>
  <si>
    <t>Load consolidated payments summary</t>
  </si>
  <si>
    <t>User has submissions, assignments, and mileage/payment history.</t>
  </si>
  <si>
    <t>Open/call the consolidated payments summary.</t>
  </si>
  <si>
    <t>Response includes submissions, assignments, current mileage, YTD mileage, and YTD payments.</t>
  </si>
  <si>
    <t>CLN-04</t>
  </si>
  <si>
    <t>Retire admin user-submissions route</t>
  </si>
  <si>
    <t>Use an authenticated admin request.</t>
  </si>
  <si>
    <t>Call /admin/user-submissions/:id.</t>
  </si>
  <si>
    <t>Endpoint returns 404 and no duplicate legacy handler responds.</t>
  </si>
  <si>
    <t>CLN-05</t>
  </si>
  <si>
    <t>Retire admin assign-client route</t>
  </si>
  <si>
    <t>Call /admin/assign-client-to-property.</t>
  </si>
  <si>
    <t>Endpoint returns 404; the supported client route remains functional.</t>
  </si>
  <si>
    <t>CLN-06</t>
  </si>
  <si>
    <t>Retire mileage user route</t>
  </si>
  <si>
    <t>Use an authenticated request.</t>
  </si>
  <si>
    <t>Call /api/mileage/user/:id.</t>
  </si>
  <si>
    <t>Endpoint returns 404; consolidated mileage/payment data remains available.</t>
  </si>
  <si>
    <t>CLN-07</t>
  </si>
  <si>
    <t>Remove global Mapbox resources</t>
  </si>
  <si>
    <t>Browser cache is disabled or cleared.</t>
  </si>
  <si>
    <t>Load the application and inspect network/document styles.</t>
  </si>
  <si>
    <t>Global Mapbox GL and Directions CSS resources are absent.</t>
  </si>
  <si>
    <t>CLN-08</t>
  </si>
  <si>
    <t>Preserve geocoding behavior</t>
  </si>
  <si>
    <t>A workflow using address geocoding is available.</t>
  </si>
  <si>
    <t>Search/resolve a valid address.</t>
  </si>
  <si>
    <t>Geocoding still returns and applies the expected result.</t>
  </si>
  <si>
    <t>CLN-09</t>
  </si>
  <si>
    <t>Avoid duplicate authentication work</t>
  </si>
  <si>
    <t>Client and AzRoots routes are instrumented/logged.</t>
  </si>
  <si>
    <t>Make one authorized request to each.</t>
  </si>
  <si>
    <t>Each request completes under one authenticated session with no duplicate authentication errors or repeated side effects.</t>
  </si>
  <si>
    <t>CLN-10</t>
  </si>
  <si>
    <t>Run full navigation smoke</t>
  </si>
  <si>
    <t>Representative platform, organization, and resource accounts exist.</t>
  </si>
  <si>
    <t>Exercise login, dashboards, billing, and Help Center.</t>
  </si>
  <si>
    <t>Core pages load with no new browser console errors or backend exceptions.</t>
  </si>
  <si>
    <t>Exit Criteria QA</t>
  </si>
  <si>
    <t>Release gates that must be satisfied before the DEV change set is promoted.</t>
  </si>
  <si>
    <t>EXT-01</t>
  </si>
  <si>
    <t>All P0 cases pass</t>
  </si>
  <si>
    <t>All module testing is complete.</t>
  </si>
  <si>
    <t>Review P0 rows across the workbook.</t>
  </si>
  <si>
    <t>Every applicable P0 row is Pass; any exception is formally accepted and linked.</t>
  </si>
  <si>
    <t>EXT-02</t>
  </si>
  <si>
    <t>No cross-tenant access</t>
  </si>
  <si>
    <t>Permission and tampering tests are complete.</t>
  </si>
  <si>
    <t>Review evidence for organization, property, and resource boundaries.</t>
  </si>
  <si>
    <t>No account accessed another tenant/property/assignment outside its authorization.</t>
  </si>
  <si>
    <t>EXT-03</t>
  </si>
  <si>
    <t>Amounts remain independent</t>
  </si>
  <si>
    <t>Invoice and earning tests are complete.</t>
  </si>
  <si>
    <t>Compare contractor compensation and customer billing across workflows.</t>
  </si>
  <si>
    <t>Contractor amounts and customer invoice amounts never overwrite or derive from one another incorrectly.</t>
  </si>
  <si>
    <t>EXT-04</t>
  </si>
  <si>
    <t>Retries remain idempotent</t>
  </si>
  <si>
    <t>Retry/failure-path testing is complete.</t>
  </si>
  <si>
    <t>Review inspection, PDF, invoice, and earning record counts.</t>
  </si>
  <si>
    <t>No retry created duplicate inspections, PDFs, invoices, or earnings.</t>
  </si>
  <si>
    <t>EXT-05</t>
  </si>
  <si>
    <t>Completed assignments can be scheduled again</t>
  </si>
  <si>
    <t>Scheduler regression tests are complete.</t>
  </si>
  <si>
    <t>Review completed-combination reuse evidence.</t>
  </si>
  <si>
    <t>A new assignment can reuse a previously completed resource/property/date combination.</t>
  </si>
  <si>
    <t>EXT-06</t>
  </si>
  <si>
    <t>Service policy changes are future-only</t>
  </si>
  <si>
    <t>Service-model approval tests are complete.</t>
  </si>
  <si>
    <t>Compare pre- and post-approval records.</t>
  </si>
  <si>
    <t>Historical assignments/invoices remain unchanged and only new work uses the new policy.</t>
  </si>
  <si>
    <t>EXT-07</t>
  </si>
  <si>
    <t>Email failures are non-destructive</t>
  </si>
  <si>
    <t>SES failure tests are complete.</t>
  </si>
  <si>
    <t>Review primary records and delivery errors.</t>
  </si>
  <si>
    <t>Business records persist and failures are observable/retryable without duplication.</t>
  </si>
  <si>
    <t>EXT-08</t>
  </si>
  <si>
    <t>No new uncaught errors</t>
  </si>
  <si>
    <t>Full smoke and targeted tests are complete.</t>
  </si>
  <si>
    <t>Review browser console and backend logs.</t>
  </si>
  <si>
    <t>No new uncaught frontend errors, unhandled promise rejections, or backend exceptions remain.</t>
  </si>
  <si>
    <t>Mitch</t>
  </si>
  <si>
    <t>account user is dev@afterlightinspections.com</t>
  </si>
  <si>
    <t>account user is mitchfurrier@gmail.com</t>
  </si>
  <si>
    <t>mitch</t>
  </si>
  <si>
    <t>account user is highspeedmitch@gmail.com</t>
  </si>
  <si>
    <t>account user is skylinemitch@outlook.com</t>
  </si>
  <si>
    <t>Property is Winterhaven Square</t>
  </si>
  <si>
    <t>account user is Al1099Dev@yahoo.com</t>
  </si>
  <si>
    <t>rate is set to $75 on al1099dev</t>
  </si>
  <si>
    <t>AlEmployee1@proton.me</t>
  </si>
  <si>
    <t>gunguymitch@gmail.com</t>
  </si>
  <si>
    <t>account is dev@afterlightinspections.com</t>
  </si>
  <si>
    <t>account is skylinemitch@outlook.com</t>
  </si>
  <si>
    <t>duplicate account was attempted on al1099dev@yahoo.com and failed succesfully</t>
  </si>
  <si>
    <t>al1099dev@yahoo.com,</t>
  </si>
  <si>
    <t>Confirmed system failure notification that Gusto onboarding must be complete before resource ativation</t>
  </si>
  <si>
    <t>confirmed success</t>
  </si>
  <si>
    <t>Confirmed inelligible. May need to update error to state that they are inelligible due to already existing as role with elevated permissions</t>
  </si>
  <si>
    <t>Tested with Skylinemitch@Outlook.com</t>
  </si>
  <si>
    <t>AL 1099 Resource</t>
  </si>
  <si>
    <t>account tested in gunguymitch@gmail.com</t>
  </si>
  <si>
    <t>al1099dev@yahoo.com</t>
  </si>
  <si>
    <t>skylinemitch@outlook.com</t>
  </si>
  <si>
    <t>Al1099dev@yahoo.com</t>
  </si>
  <si>
    <t>Invoice BLK01-1785815140114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</si>
</sst>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10"/>
      <color rgb="FF243447"/>
      <name val="Calibri"/>
    </font>
    <font>
      <b/>
      <sz val="10"/>
      <color rgb="FFFFFFFF"/>
      <name val="Calibri"/>
    </font>
    <font>
      <b/>
      <sz val="11"/>
      <color rgb="FF16324F"/>
      <name val="Calibri"/>
    </font>
    <font>
      <u/>
      <sz val="9"/>
      <color rgb="FF2F75B5"/>
      <name val="Calibri"/>
    </font>
    <font>
      <sz val="9"/>
      <color rgb="FF243447"/>
      <name val="Calibri"/>
    </font>
    <font>
      <b/>
      <sz val="18"/>
      <color rgb="FFFFFFFF"/>
      <name val="Calibri"/>
    </font>
    <font>
      <b/>
      <u/>
      <sz val="10"/>
      <color rgb="FF9FD5FF"/>
      <name val="Calibri"/>
    </font>
    <font>
      <i/>
      <sz val="9"/>
      <color rgb="FF7F6000"/>
      <name val="Calibri"/>
    </font>
    <font>
      <u/>
      <sz val="11"/>
      <color theme="10"/>
      <name val="Calibri"/>
      <family val="2"/>
      <scheme val="minor"/>
    </font>
    <font>
      <sz val="9"/>
      <color rgb="FF243447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DDEBF7"/>
      </patternFill>
    </fill>
    <fill>
      <patternFill patternType="solid">
        <fgColor rgb="FFF7FAFC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A7B6C2"/>
      </left>
      <right style="thin">
        <color rgb="FFA7B6C2"/>
      </right>
      <top style="thin">
        <color rgb="FFA7B6C2"/>
      </top>
      <bottom style="thin">
        <color rgb="FFA7B6C2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3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9" fontId="6" fillId="6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64" fontId="6" fillId="0" borderId="1" xfId="0" applyNumberFormat="1" applyFont="1" applyBorder="1" applyAlignment="1">
      <alignment horizontal="center" vertical="top" wrapText="1"/>
    </xf>
    <xf numFmtId="0" fontId="10" fillId="0" borderId="1" xfId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117">
    <dxf>
      <font>
        <b/>
        <color rgb="FF666666"/>
      </font>
      <fill>
        <patternFill patternType="solid">
          <fgColor rgb="FFE7E6E6"/>
          <bgColor rgb="FFE7E6E6"/>
        </patternFill>
      </fill>
    </dxf>
    <dxf>
      <font>
        <b/>
        <color rgb="FF16324F"/>
      </font>
      <fill>
        <patternFill patternType="solid">
          <fgColor rgb="FFD9EAF7"/>
          <bgColor rgb="FFD9EAF7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375623"/>
      </font>
      <fill>
        <patternFill patternType="solid">
          <fgColor rgb="FFE2F0D9"/>
          <bgColor rgb="FFE2F0D9"/>
        </patternFill>
      </fill>
    </dxf>
    <dxf>
      <font>
        <b/>
        <color rgb="FF666666"/>
      </font>
      <fill>
        <patternFill patternType="solid">
          <fgColor rgb="FFE7E6E6"/>
          <bgColor rgb="FFE7E6E6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666666"/>
      </font>
      <fill>
        <patternFill patternType="solid">
          <fgColor rgb="FFE7E6E6"/>
          <bgColor rgb="FFE7E6E6"/>
        </patternFill>
      </fill>
    </dxf>
    <dxf>
      <font>
        <b/>
        <color rgb="FF16324F"/>
      </font>
      <fill>
        <patternFill patternType="solid">
          <fgColor rgb="FFD9EAF7"/>
          <bgColor rgb="FFD9EAF7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375623"/>
      </font>
      <fill>
        <patternFill patternType="solid">
          <fgColor rgb="FFE2F0D9"/>
          <bgColor rgb="FFE2F0D9"/>
        </patternFill>
      </fill>
    </dxf>
    <dxf>
      <font>
        <b/>
        <color rgb="FF666666"/>
      </font>
      <fill>
        <patternFill patternType="solid">
          <fgColor rgb="FFE7E6E6"/>
          <bgColor rgb="FFE7E6E6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666666"/>
      </font>
      <fill>
        <patternFill patternType="solid">
          <fgColor rgb="FFE7E6E6"/>
          <bgColor rgb="FFE7E6E6"/>
        </patternFill>
      </fill>
    </dxf>
    <dxf>
      <font>
        <b/>
        <color rgb="FF16324F"/>
      </font>
      <fill>
        <patternFill patternType="solid">
          <fgColor rgb="FFD9EAF7"/>
          <bgColor rgb="FFD9EAF7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375623"/>
      </font>
      <fill>
        <patternFill patternType="solid">
          <fgColor rgb="FFE2F0D9"/>
          <bgColor rgb="FFE2F0D9"/>
        </patternFill>
      </fill>
    </dxf>
    <dxf>
      <font>
        <b/>
        <color rgb="FF666666"/>
      </font>
      <fill>
        <patternFill patternType="solid">
          <fgColor rgb="FFE7E6E6"/>
          <bgColor rgb="FFE7E6E6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666666"/>
      </font>
      <fill>
        <patternFill patternType="solid">
          <fgColor rgb="FFE7E6E6"/>
          <bgColor rgb="FFE7E6E6"/>
        </patternFill>
      </fill>
    </dxf>
    <dxf>
      <font>
        <b/>
        <color rgb="FF16324F"/>
      </font>
      <fill>
        <patternFill patternType="solid">
          <fgColor rgb="FFD9EAF7"/>
          <bgColor rgb="FFD9EAF7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375623"/>
      </font>
      <fill>
        <patternFill patternType="solid">
          <fgColor rgb="FFE2F0D9"/>
          <bgColor rgb="FFE2F0D9"/>
        </patternFill>
      </fill>
    </dxf>
    <dxf>
      <font>
        <b/>
        <color rgb="FF666666"/>
      </font>
      <fill>
        <patternFill patternType="solid">
          <fgColor rgb="FFE7E6E6"/>
          <bgColor rgb="FFE7E6E6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666666"/>
      </font>
      <fill>
        <patternFill patternType="solid">
          <fgColor rgb="FFE7E6E6"/>
          <bgColor rgb="FFE7E6E6"/>
        </patternFill>
      </fill>
    </dxf>
    <dxf>
      <font>
        <b/>
        <color rgb="FF16324F"/>
      </font>
      <fill>
        <patternFill patternType="solid">
          <fgColor rgb="FFD9EAF7"/>
          <bgColor rgb="FFD9EAF7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375623"/>
      </font>
      <fill>
        <patternFill patternType="solid">
          <fgColor rgb="FFE2F0D9"/>
          <bgColor rgb="FFE2F0D9"/>
        </patternFill>
      </fill>
    </dxf>
    <dxf>
      <font>
        <b/>
        <color rgb="FF666666"/>
      </font>
      <fill>
        <patternFill patternType="solid">
          <fgColor rgb="FFE7E6E6"/>
          <bgColor rgb="FFE7E6E6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666666"/>
      </font>
      <fill>
        <patternFill patternType="solid">
          <fgColor rgb="FFE7E6E6"/>
          <bgColor rgb="FFE7E6E6"/>
        </patternFill>
      </fill>
    </dxf>
    <dxf>
      <font>
        <b/>
        <color rgb="FF16324F"/>
      </font>
      <fill>
        <patternFill patternType="solid">
          <fgColor rgb="FFD9EAF7"/>
          <bgColor rgb="FFD9EAF7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375623"/>
      </font>
      <fill>
        <patternFill patternType="solid">
          <fgColor rgb="FFE2F0D9"/>
          <bgColor rgb="FFE2F0D9"/>
        </patternFill>
      </fill>
    </dxf>
    <dxf>
      <font>
        <b/>
        <color rgb="FF666666"/>
      </font>
      <fill>
        <patternFill patternType="solid">
          <fgColor rgb="FFE7E6E6"/>
          <bgColor rgb="FFE7E6E6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666666"/>
      </font>
      <fill>
        <patternFill patternType="solid">
          <fgColor rgb="FFE7E6E6"/>
          <bgColor rgb="FFE7E6E6"/>
        </patternFill>
      </fill>
    </dxf>
    <dxf>
      <font>
        <b/>
        <color rgb="FF16324F"/>
      </font>
      <fill>
        <patternFill patternType="solid">
          <fgColor rgb="FFD9EAF7"/>
          <bgColor rgb="FFD9EAF7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375623"/>
      </font>
      <fill>
        <patternFill patternType="solid">
          <fgColor rgb="FFE2F0D9"/>
          <bgColor rgb="FFE2F0D9"/>
        </patternFill>
      </fill>
    </dxf>
    <dxf>
      <font>
        <b/>
        <color rgb="FF666666"/>
      </font>
      <fill>
        <patternFill patternType="solid">
          <fgColor rgb="FFE7E6E6"/>
          <bgColor rgb="FFE7E6E6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666666"/>
      </font>
      <fill>
        <patternFill patternType="solid">
          <fgColor rgb="FFE7E6E6"/>
          <bgColor rgb="FFE7E6E6"/>
        </patternFill>
      </fill>
    </dxf>
    <dxf>
      <font>
        <b/>
        <color rgb="FF16324F"/>
      </font>
      <fill>
        <patternFill patternType="solid">
          <fgColor rgb="FFD9EAF7"/>
          <bgColor rgb="FFD9EAF7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375623"/>
      </font>
      <fill>
        <patternFill patternType="solid">
          <fgColor rgb="FFE2F0D9"/>
          <bgColor rgb="FFE2F0D9"/>
        </patternFill>
      </fill>
    </dxf>
    <dxf>
      <font>
        <b/>
        <color rgb="FF666666"/>
      </font>
      <fill>
        <patternFill patternType="solid">
          <fgColor rgb="FFE7E6E6"/>
          <bgColor rgb="FFE7E6E6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666666"/>
      </font>
      <fill>
        <patternFill patternType="solid">
          <fgColor rgb="FFE7E6E6"/>
          <bgColor rgb="FFE7E6E6"/>
        </patternFill>
      </fill>
    </dxf>
    <dxf>
      <font>
        <b/>
        <color rgb="FF16324F"/>
      </font>
      <fill>
        <patternFill patternType="solid">
          <fgColor rgb="FFD9EAF7"/>
          <bgColor rgb="FFD9EAF7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375623"/>
      </font>
      <fill>
        <patternFill patternType="solid">
          <fgColor rgb="FFE2F0D9"/>
          <bgColor rgb="FFE2F0D9"/>
        </patternFill>
      </fill>
    </dxf>
    <dxf>
      <font>
        <b/>
        <color rgb="FF666666"/>
      </font>
      <fill>
        <patternFill patternType="solid">
          <fgColor rgb="FFE7E6E6"/>
          <bgColor rgb="FFE7E6E6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666666"/>
      </font>
      <fill>
        <patternFill patternType="solid">
          <fgColor rgb="FFE7E6E6"/>
          <bgColor rgb="FFE7E6E6"/>
        </patternFill>
      </fill>
    </dxf>
    <dxf>
      <font>
        <b/>
        <color rgb="FF16324F"/>
      </font>
      <fill>
        <patternFill patternType="solid">
          <fgColor rgb="FFD9EAF7"/>
          <bgColor rgb="FFD9EAF7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375623"/>
      </font>
      <fill>
        <patternFill patternType="solid">
          <fgColor rgb="FFE2F0D9"/>
          <bgColor rgb="FFE2F0D9"/>
        </patternFill>
      </fill>
    </dxf>
    <dxf>
      <font>
        <b/>
        <color rgb="FF666666"/>
      </font>
      <fill>
        <patternFill patternType="solid">
          <fgColor rgb="FFE7E6E6"/>
          <bgColor rgb="FFE7E6E6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666666"/>
      </font>
      <fill>
        <patternFill patternType="solid">
          <fgColor rgb="FFE7E6E6"/>
          <bgColor rgb="FFE7E6E6"/>
        </patternFill>
      </fill>
    </dxf>
    <dxf>
      <font>
        <b/>
        <color rgb="FF16324F"/>
      </font>
      <fill>
        <patternFill patternType="solid">
          <fgColor rgb="FFD9EAF7"/>
          <bgColor rgb="FFD9EAF7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375623"/>
      </font>
      <fill>
        <patternFill patternType="solid">
          <fgColor rgb="FFE2F0D9"/>
          <bgColor rgb="FFE2F0D9"/>
        </patternFill>
      </fill>
    </dxf>
    <dxf>
      <font>
        <b/>
        <color rgb="FF666666"/>
      </font>
      <fill>
        <patternFill patternType="solid">
          <fgColor rgb="FFE7E6E6"/>
          <bgColor rgb="FFE7E6E6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666666"/>
      </font>
      <fill>
        <patternFill patternType="solid">
          <fgColor rgb="FFE7E6E6"/>
          <bgColor rgb="FFE7E6E6"/>
        </patternFill>
      </fill>
    </dxf>
    <dxf>
      <font>
        <b/>
        <color rgb="FF16324F"/>
      </font>
      <fill>
        <patternFill patternType="solid">
          <fgColor rgb="FFD9EAF7"/>
          <bgColor rgb="FFD9EAF7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375623"/>
      </font>
      <fill>
        <patternFill patternType="solid">
          <fgColor rgb="FFE2F0D9"/>
          <bgColor rgb="FFE2F0D9"/>
        </patternFill>
      </fill>
    </dxf>
    <dxf>
      <font>
        <b/>
        <color rgb="FF666666"/>
      </font>
      <fill>
        <patternFill patternType="solid">
          <fgColor rgb="FFE7E6E6"/>
          <bgColor rgb="FFE7E6E6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666666"/>
      </font>
      <fill>
        <patternFill patternType="solid">
          <fgColor rgb="FFE7E6E6"/>
          <bgColor rgb="FFE7E6E6"/>
        </patternFill>
      </fill>
    </dxf>
    <dxf>
      <font>
        <b/>
        <color rgb="FF16324F"/>
      </font>
      <fill>
        <patternFill patternType="solid">
          <fgColor rgb="FFD9EAF7"/>
          <bgColor rgb="FFD9EAF7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375623"/>
      </font>
      <fill>
        <patternFill patternType="solid">
          <fgColor rgb="FFE2F0D9"/>
          <bgColor rgb="FFE2F0D9"/>
        </patternFill>
      </fill>
    </dxf>
    <dxf>
      <font>
        <b/>
        <color rgb="FF666666"/>
      </font>
      <fill>
        <patternFill patternType="solid">
          <fgColor rgb="FFE7E6E6"/>
          <bgColor rgb="FFE7E6E6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666666"/>
      </font>
      <fill>
        <patternFill patternType="solid">
          <fgColor rgb="FFE7E6E6"/>
          <bgColor rgb="FFE7E6E6"/>
        </patternFill>
      </fill>
    </dxf>
    <dxf>
      <font>
        <b/>
        <color rgb="FF16324F"/>
      </font>
      <fill>
        <patternFill patternType="solid">
          <fgColor rgb="FFD9EAF7"/>
          <bgColor rgb="FFD9EAF7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375623"/>
      </font>
      <fill>
        <patternFill patternType="solid">
          <fgColor rgb="FFE2F0D9"/>
          <bgColor rgb="FFE2F0D9"/>
        </patternFill>
      </fill>
    </dxf>
    <dxf>
      <font>
        <b/>
        <color rgb="FF666666"/>
      </font>
      <fill>
        <patternFill patternType="solid">
          <fgColor rgb="FFE7E6E6"/>
          <bgColor rgb="FFE7E6E6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666666"/>
      </font>
      <fill>
        <patternFill patternType="solid">
          <fgColor rgb="FFE7E6E6"/>
        </patternFill>
      </fill>
    </dxf>
    <dxf>
      <font>
        <b/>
        <color rgb="FF16324F"/>
      </font>
      <fill>
        <patternFill patternType="solid">
          <fgColor rgb="FFD9EAF7"/>
        </patternFill>
      </fill>
    </dxf>
    <dxf>
      <font>
        <b/>
        <color rgb="FF9C6500"/>
      </font>
      <fill>
        <patternFill patternType="solid">
          <fgColor rgb="FFFFF2CC"/>
        </patternFill>
      </fill>
    </dxf>
    <dxf>
      <font>
        <b/>
        <color rgb="FF9C0006"/>
      </font>
      <fill>
        <patternFill patternType="solid">
          <fgColor rgb="FFFCE4D6"/>
        </patternFill>
      </fill>
    </dxf>
    <dxf>
      <font>
        <b/>
        <color rgb="FF375623"/>
      </font>
      <fill>
        <patternFill patternType="solid">
          <f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gunguymitch@gmail.com" TargetMode="External"/><Relationship Id="rId1" Type="http://schemas.openxmlformats.org/officeDocument/2006/relationships/hyperlink" Target="mailto:AlEmployee1@proton.m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al1099dev@yahoo.com,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mailto:skylinemitch@outlook.com" TargetMode="External"/><Relationship Id="rId1" Type="http://schemas.openxmlformats.org/officeDocument/2006/relationships/hyperlink" Target="mailto:al1099dev@yahoo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al1099dev@yahoo.com" TargetMode="External"/><Relationship Id="rId2" Type="http://schemas.openxmlformats.org/officeDocument/2006/relationships/hyperlink" Target="mailto:Al1099dev@yahoo.com" TargetMode="External"/><Relationship Id="rId1" Type="http://schemas.openxmlformats.org/officeDocument/2006/relationships/hyperlink" Target="mailto:Al1099dev@yahoo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l1099dev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6324F"/>
    <pageSetUpPr fitToPage="1"/>
  </sheetPr>
  <dimension ref="A1:L19"/>
  <sheetViews>
    <sheetView showGridLines="0" tabSelected="1" workbookViewId="0">
      <pane xSplit="1" ySplit="5" topLeftCell="B6" activePane="bottomRight" state="frozen"/>
      <selection pane="topRight"/>
      <selection pane="bottomLeft"/>
      <selection pane="bottomRight" activeCell="A11" sqref="A11"/>
    </sheetView>
  </sheetViews>
  <sheetFormatPr defaultRowHeight="15" x14ac:dyDescent="0.25"/>
  <cols>
    <col min="1" max="1" width="24" customWidth="1"/>
    <col min="2" max="4" width="8" customWidth="1"/>
    <col min="6" max="7" width="12" customWidth="1"/>
    <col min="8" max="8" width="7" customWidth="1"/>
    <col min="9" max="9" width="11" customWidth="1"/>
    <col min="10" max="10" width="18" customWidth="1"/>
    <col min="11" max="11" width="15" customWidth="1"/>
    <col min="12" max="12" width="34" customWidth="1"/>
  </cols>
  <sheetData>
    <row r="1" spans="1:12" ht="32.1" customHeight="1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33.950000000000003" customHeight="1" x14ac:dyDescent="0.2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ht="26.1" customHeight="1" x14ac:dyDescent="0.25">
      <c r="A3" s="1" t="s">
        <v>2</v>
      </c>
      <c r="B3" s="2">
        <f>SUM(B6:B19)</f>
        <v>133</v>
      </c>
      <c r="C3" s="1" t="s">
        <v>3</v>
      </c>
      <c r="D3" s="2">
        <f>SUM(C6:C19)</f>
        <v>50</v>
      </c>
      <c r="E3" s="1" t="s">
        <v>4</v>
      </c>
      <c r="F3" s="2">
        <f>SUM(D6:D19)</f>
        <v>0</v>
      </c>
      <c r="G3" s="1" t="s">
        <v>5</v>
      </c>
      <c r="H3" s="2">
        <f>SUM(E6:E19)</f>
        <v>1</v>
      </c>
      <c r="I3" s="1" t="s">
        <v>6</v>
      </c>
      <c r="J3" s="3">
        <f>IF(B3=0,0,(D3+F3+H3+SUM(H6:H19))/B3)</f>
        <v>0.38345864661654133</v>
      </c>
      <c r="K3" s="1" t="s">
        <v>7</v>
      </c>
      <c r="L3" s="2" t="s">
        <v>8</v>
      </c>
    </row>
    <row r="4" spans="1:12" ht="8.1" customHeight="1" x14ac:dyDescent="0.25"/>
    <row r="5" spans="1:12" ht="32.1" customHeight="1" x14ac:dyDescent="0.25">
      <c r="A5" s="4" t="s">
        <v>9</v>
      </c>
      <c r="B5" s="4" t="s">
        <v>10</v>
      </c>
      <c r="C5" s="4" t="s">
        <v>11</v>
      </c>
      <c r="D5" s="4" t="s">
        <v>12</v>
      </c>
      <c r="E5" s="4" t="s">
        <v>5</v>
      </c>
      <c r="F5" s="4" t="s">
        <v>13</v>
      </c>
      <c r="G5" s="4" t="s">
        <v>14</v>
      </c>
      <c r="H5" s="4" t="s">
        <v>15</v>
      </c>
      <c r="I5" s="4" t="s">
        <v>6</v>
      </c>
      <c r="J5" s="4" t="s">
        <v>16</v>
      </c>
      <c r="K5" s="4" t="s">
        <v>17</v>
      </c>
      <c r="L5" s="4" t="s">
        <v>18</v>
      </c>
    </row>
    <row r="6" spans="1:12" ht="24.95" customHeight="1" x14ac:dyDescent="0.25">
      <c r="A6" s="5" t="s">
        <v>19</v>
      </c>
      <c r="B6" s="6">
        <f>'Test Setup'!B3</f>
        <v>10</v>
      </c>
      <c r="C6" s="6">
        <f>'Test Setup'!D3</f>
        <v>10</v>
      </c>
      <c r="D6" s="6">
        <f>'Test Setup'!F3</f>
        <v>0</v>
      </c>
      <c r="E6" s="6">
        <f>'Test Setup'!H3</f>
        <v>0</v>
      </c>
      <c r="F6" s="6">
        <f>COUNTIF('Test Setup'!G6:G15,"In Progress")</f>
        <v>0</v>
      </c>
      <c r="G6" s="6">
        <f>COUNTIF('Test Setup'!G6:G15,"Not Started")</f>
        <v>0</v>
      </c>
      <c r="H6" s="6">
        <f>COUNTIF('Test Setup'!G6:G15,"N/A")</f>
        <v>0</v>
      </c>
      <c r="I6" s="7">
        <f t="shared" ref="I6:I19" si="0">IF(B6=0,0,(C6+D6+E6+H6)/B6)</f>
        <v>1</v>
      </c>
      <c r="J6" s="8" t="s">
        <v>20</v>
      </c>
      <c r="K6" s="6" t="str">
        <f t="shared" ref="K6:K19" si="1">IF(D6&gt;0,"Fail",IF(E6&gt;0,"Blocked",IF(F6&gt;0,"In Progress",IF(C6+H6=B6,"Complete","Not Started"))))</f>
        <v>Complete</v>
      </c>
      <c r="L6" s="8" t="s">
        <v>20</v>
      </c>
    </row>
    <row r="7" spans="1:12" ht="24.95" customHeight="1" x14ac:dyDescent="0.25">
      <c r="A7" s="9" t="s">
        <v>21</v>
      </c>
      <c r="B7" s="10">
        <f>'Resource Onboarding'!B3</f>
        <v>8</v>
      </c>
      <c r="C7" s="10">
        <f>'Resource Onboarding'!D3</f>
        <v>8</v>
      </c>
      <c r="D7" s="10">
        <f>'Resource Onboarding'!F3</f>
        <v>0</v>
      </c>
      <c r="E7" s="10">
        <f>'Resource Onboarding'!H3</f>
        <v>0</v>
      </c>
      <c r="F7" s="10">
        <f>COUNTIF('Resource Onboarding'!G6:G13,"In Progress")</f>
        <v>0</v>
      </c>
      <c r="G7" s="10">
        <f>COUNTIF('Resource Onboarding'!G6:G13,"Not Started")</f>
        <v>0</v>
      </c>
      <c r="H7" s="10">
        <f>COUNTIF('Resource Onboarding'!G6:G13,"N/A")</f>
        <v>0</v>
      </c>
      <c r="I7" s="11">
        <f t="shared" si="0"/>
        <v>1</v>
      </c>
      <c r="J7" s="12" t="s">
        <v>20</v>
      </c>
      <c r="K7" s="10" t="str">
        <f t="shared" si="1"/>
        <v>Complete</v>
      </c>
      <c r="L7" s="12" t="s">
        <v>20</v>
      </c>
    </row>
    <row r="8" spans="1:12" ht="24.95" customHeight="1" x14ac:dyDescent="0.25">
      <c r="A8" s="5" t="s">
        <v>22</v>
      </c>
      <c r="B8" s="6">
        <f>'Workspace Switching'!B3</f>
        <v>6</v>
      </c>
      <c r="C8" s="6">
        <f>'Workspace Switching'!D3</f>
        <v>6</v>
      </c>
      <c r="D8" s="6">
        <f>'Workspace Switching'!F3</f>
        <v>0</v>
      </c>
      <c r="E8" s="6">
        <f>'Workspace Switching'!H3</f>
        <v>0</v>
      </c>
      <c r="F8" s="6">
        <f>COUNTIF('Workspace Switching'!G6:G11,"In Progress")</f>
        <v>0</v>
      </c>
      <c r="G8" s="6">
        <f>COUNTIF('Workspace Switching'!G6:G11,"Not Started")</f>
        <v>0</v>
      </c>
      <c r="H8" s="6">
        <f>COUNTIF('Workspace Switching'!G6:G11,"N/A")</f>
        <v>0</v>
      </c>
      <c r="I8" s="7">
        <f t="shared" si="0"/>
        <v>1</v>
      </c>
      <c r="J8" s="8" t="s">
        <v>20</v>
      </c>
      <c r="K8" s="6" t="str">
        <f t="shared" si="1"/>
        <v>Complete</v>
      </c>
      <c r="L8" s="8" t="s">
        <v>20</v>
      </c>
    </row>
    <row r="9" spans="1:12" ht="24.95" customHeight="1" x14ac:dyDescent="0.25">
      <c r="A9" s="9" t="s">
        <v>23</v>
      </c>
      <c r="B9" s="10">
        <f>Deployment!B3</f>
        <v>10</v>
      </c>
      <c r="C9" s="10">
        <f>Deployment!D3</f>
        <v>10</v>
      </c>
      <c r="D9" s="10">
        <f>Deployment!F3</f>
        <v>0</v>
      </c>
      <c r="E9" s="10">
        <f>Deployment!H3</f>
        <v>0</v>
      </c>
      <c r="F9" s="10">
        <f>COUNTIF(Deployment!G6:G15,"In Progress")</f>
        <v>0</v>
      </c>
      <c r="G9" s="10">
        <f>COUNTIF(Deployment!G6:G15,"Not Started")</f>
        <v>0</v>
      </c>
      <c r="H9" s="10">
        <f>COUNTIF(Deployment!G6:G15,"N/A")</f>
        <v>0</v>
      </c>
      <c r="I9" s="11">
        <f t="shared" si="0"/>
        <v>1</v>
      </c>
      <c r="J9" s="12" t="s">
        <v>20</v>
      </c>
      <c r="K9" s="10" t="str">
        <f t="shared" si="1"/>
        <v>Complete</v>
      </c>
      <c r="L9" s="12" t="s">
        <v>20</v>
      </c>
    </row>
    <row r="10" spans="1:12" ht="24.95" customHeight="1" x14ac:dyDescent="0.25">
      <c r="A10" s="5" t="s">
        <v>24</v>
      </c>
      <c r="B10" s="6">
        <f>'Inspection Completion'!B3</f>
        <v>11</v>
      </c>
      <c r="C10" s="6">
        <f>'Inspection Completion'!D3</f>
        <v>9</v>
      </c>
      <c r="D10" s="6">
        <f>'Inspection Completion'!F3</f>
        <v>0</v>
      </c>
      <c r="E10" s="6">
        <f>'Inspection Completion'!H3</f>
        <v>1</v>
      </c>
      <c r="F10" s="6">
        <f>COUNTIF('Inspection Completion'!G6:G16,"In Progress")</f>
        <v>1</v>
      </c>
      <c r="G10" s="6">
        <f>COUNTIF('Inspection Completion'!G6:G16,"Not Started")</f>
        <v>0</v>
      </c>
      <c r="H10" s="6">
        <f>COUNTIF('Inspection Completion'!G6:G16,"N/A")</f>
        <v>0</v>
      </c>
      <c r="I10" s="7">
        <f t="shared" si="0"/>
        <v>0.90909090909090906</v>
      </c>
      <c r="J10" s="8" t="s">
        <v>20</v>
      </c>
      <c r="K10" s="6" t="str">
        <f t="shared" si="1"/>
        <v>Blocked</v>
      </c>
      <c r="L10" s="8" t="s">
        <v>20</v>
      </c>
    </row>
    <row r="11" spans="1:12" ht="24.95" customHeight="1" x14ac:dyDescent="0.25">
      <c r="A11" s="9" t="s">
        <v>25</v>
      </c>
      <c r="B11" s="10">
        <f>'Invoice Lifecycle'!B3</f>
        <v>14</v>
      </c>
      <c r="C11" s="10">
        <f>'Invoice Lifecycle'!D3</f>
        <v>7</v>
      </c>
      <c r="D11" s="10">
        <f>'Invoice Lifecycle'!F3</f>
        <v>0</v>
      </c>
      <c r="E11" s="10">
        <f>'Invoice Lifecycle'!H3</f>
        <v>0</v>
      </c>
      <c r="F11" s="10">
        <f>COUNTIF('Invoice Lifecycle'!G6:G19,"In Progress")</f>
        <v>0</v>
      </c>
      <c r="G11" s="10">
        <f>COUNTIF('Invoice Lifecycle'!G6:G19,"Not Started")</f>
        <v>7</v>
      </c>
      <c r="H11" s="10">
        <f>COUNTIF('Invoice Lifecycle'!G6:G19,"N/A")</f>
        <v>0</v>
      </c>
      <c r="I11" s="11">
        <f t="shared" si="0"/>
        <v>0.5</v>
      </c>
      <c r="J11" s="12" t="s">
        <v>20</v>
      </c>
      <c r="K11" s="10" t="str">
        <f t="shared" si="1"/>
        <v>Not Started</v>
      </c>
      <c r="L11" s="12" t="s">
        <v>20</v>
      </c>
    </row>
    <row r="12" spans="1:12" ht="24.95" customHeight="1" x14ac:dyDescent="0.25">
      <c r="A12" s="5" t="s">
        <v>26</v>
      </c>
      <c r="B12" s="6">
        <f>'Gusto Payouts'!B3</f>
        <v>11</v>
      </c>
      <c r="C12" s="6">
        <f>'Gusto Payouts'!D3</f>
        <v>0</v>
      </c>
      <c r="D12" s="6">
        <f>'Gusto Payouts'!F3</f>
        <v>0</v>
      </c>
      <c r="E12" s="6">
        <f>'Gusto Payouts'!H3</f>
        <v>0</v>
      </c>
      <c r="F12" s="6">
        <f>COUNTIF('Gusto Payouts'!G6:G16,"In Progress")</f>
        <v>0</v>
      </c>
      <c r="G12" s="6">
        <f>COUNTIF('Gusto Payouts'!G6:G16,"Not Started")</f>
        <v>11</v>
      </c>
      <c r="H12" s="6">
        <f>COUNTIF('Gusto Payouts'!G6:G16,"N/A")</f>
        <v>0</v>
      </c>
      <c r="I12" s="7">
        <f t="shared" si="0"/>
        <v>0</v>
      </c>
      <c r="J12" s="8" t="s">
        <v>20</v>
      </c>
      <c r="K12" s="6" t="str">
        <f t="shared" si="1"/>
        <v>Not Started</v>
      </c>
      <c r="L12" s="8" t="s">
        <v>20</v>
      </c>
    </row>
    <row r="13" spans="1:12" ht="24.95" customHeight="1" x14ac:dyDescent="0.25">
      <c r="A13" s="9" t="s">
        <v>27</v>
      </c>
      <c r="B13" s="10">
        <f>'Scheduler Regression'!B3</f>
        <v>10</v>
      </c>
      <c r="C13" s="10">
        <f>'Scheduler Regression'!D3</f>
        <v>0</v>
      </c>
      <c r="D13" s="10">
        <f>'Scheduler Regression'!F3</f>
        <v>0</v>
      </c>
      <c r="E13" s="10">
        <f>'Scheduler Regression'!H3</f>
        <v>0</v>
      </c>
      <c r="F13" s="10">
        <f>COUNTIF('Scheduler Regression'!G6:G15,"In Progress")</f>
        <v>0</v>
      </c>
      <c r="G13" s="10">
        <f>COUNTIF('Scheduler Regression'!G6:G15,"Not Started")</f>
        <v>10</v>
      </c>
      <c r="H13" s="10">
        <f>COUNTIF('Scheduler Regression'!G6:G15,"N/A")</f>
        <v>0</v>
      </c>
      <c r="I13" s="11">
        <f t="shared" si="0"/>
        <v>0</v>
      </c>
      <c r="J13" s="12" t="s">
        <v>20</v>
      </c>
      <c r="K13" s="10" t="str">
        <f t="shared" si="1"/>
        <v>Not Started</v>
      </c>
      <c r="L13" s="12" t="s">
        <v>20</v>
      </c>
    </row>
    <row r="14" spans="1:12" ht="24.95" customHeight="1" x14ac:dyDescent="0.25">
      <c r="A14" s="5" t="s">
        <v>28</v>
      </c>
      <c r="B14" s="6">
        <f>'Employees Owners'!B3</f>
        <v>5</v>
      </c>
      <c r="C14" s="6">
        <f>'Employees Owners'!D3</f>
        <v>0</v>
      </c>
      <c r="D14" s="6">
        <f>'Employees Owners'!F3</f>
        <v>0</v>
      </c>
      <c r="E14" s="6">
        <f>'Employees Owners'!H3</f>
        <v>0</v>
      </c>
      <c r="F14" s="6">
        <f>COUNTIF('Employees Owners'!G6:G10,"In Progress")</f>
        <v>0</v>
      </c>
      <c r="G14" s="6">
        <f>COUNTIF('Employees Owners'!G6:G10,"Not Started")</f>
        <v>5</v>
      </c>
      <c r="H14" s="6">
        <f>COUNTIF('Employees Owners'!G6:G10,"N/A")</f>
        <v>0</v>
      </c>
      <c r="I14" s="7">
        <f t="shared" si="0"/>
        <v>0</v>
      </c>
      <c r="J14" s="8" t="s">
        <v>20</v>
      </c>
      <c r="K14" s="6" t="str">
        <f t="shared" si="1"/>
        <v>Not Started</v>
      </c>
      <c r="L14" s="8" t="s">
        <v>20</v>
      </c>
    </row>
    <row r="15" spans="1:12" ht="24.95" customHeight="1" x14ac:dyDescent="0.25">
      <c r="A15" s="9" t="s">
        <v>29</v>
      </c>
      <c r="B15" s="10">
        <f>'Service Model'!B3</f>
        <v>17</v>
      </c>
      <c r="C15" s="10">
        <f>'Service Model'!D3</f>
        <v>0</v>
      </c>
      <c r="D15" s="10">
        <f>'Service Model'!F3</f>
        <v>0</v>
      </c>
      <c r="E15" s="10">
        <f>'Service Model'!H3</f>
        <v>0</v>
      </c>
      <c r="F15" s="10">
        <f>COUNTIF('Service Model'!G6:G22,"In Progress")</f>
        <v>0</v>
      </c>
      <c r="G15" s="10">
        <f>COUNTIF('Service Model'!G6:G22,"Not Started")</f>
        <v>17</v>
      </c>
      <c r="H15" s="10">
        <f>COUNTIF('Service Model'!G6:G22,"N/A")</f>
        <v>0</v>
      </c>
      <c r="I15" s="11">
        <f t="shared" si="0"/>
        <v>0</v>
      </c>
      <c r="J15" s="12" t="s">
        <v>20</v>
      </c>
      <c r="K15" s="10" t="str">
        <f t="shared" si="1"/>
        <v>Not Started</v>
      </c>
      <c r="L15" s="12" t="s">
        <v>20</v>
      </c>
    </row>
    <row r="16" spans="1:12" ht="24.95" customHeight="1" x14ac:dyDescent="0.25">
      <c r="A16" s="5" t="s">
        <v>30</v>
      </c>
      <c r="B16" s="6">
        <f>'Help Center'!B3</f>
        <v>7</v>
      </c>
      <c r="C16" s="6">
        <f>'Help Center'!D3</f>
        <v>0</v>
      </c>
      <c r="D16" s="6">
        <f>'Help Center'!F3</f>
        <v>0</v>
      </c>
      <c r="E16" s="6">
        <f>'Help Center'!H3</f>
        <v>0</v>
      </c>
      <c r="F16" s="6">
        <f>COUNTIF('Help Center'!G6:G12,"In Progress")</f>
        <v>0</v>
      </c>
      <c r="G16" s="6">
        <f>COUNTIF('Help Center'!G6:G12,"Not Started")</f>
        <v>7</v>
      </c>
      <c r="H16" s="6">
        <f>COUNTIF('Help Center'!G6:G12,"N/A")</f>
        <v>0</v>
      </c>
      <c r="I16" s="7">
        <f t="shared" si="0"/>
        <v>0</v>
      </c>
      <c r="J16" s="8" t="s">
        <v>20</v>
      </c>
      <c r="K16" s="6" t="str">
        <f t="shared" si="1"/>
        <v>Not Started</v>
      </c>
      <c r="L16" s="8" t="s">
        <v>20</v>
      </c>
    </row>
    <row r="17" spans="1:12" ht="24.95" customHeight="1" x14ac:dyDescent="0.25">
      <c r="A17" s="9" t="s">
        <v>31</v>
      </c>
      <c r="B17" s="10">
        <f>'Notifications Email'!B3</f>
        <v>6</v>
      </c>
      <c r="C17" s="10">
        <f>'Notifications Email'!D3</f>
        <v>0</v>
      </c>
      <c r="D17" s="10">
        <f>'Notifications Email'!F3</f>
        <v>0</v>
      </c>
      <c r="E17" s="10">
        <f>'Notifications Email'!H3</f>
        <v>0</v>
      </c>
      <c r="F17" s="10">
        <f>COUNTIF('Notifications Email'!G6:G11,"In Progress")</f>
        <v>0</v>
      </c>
      <c r="G17" s="10">
        <f>COUNTIF('Notifications Email'!G6:G11,"Not Started")</f>
        <v>6</v>
      </c>
      <c r="H17" s="10">
        <f>COUNTIF('Notifications Email'!G6:G11,"N/A")</f>
        <v>0</v>
      </c>
      <c r="I17" s="11">
        <f t="shared" si="0"/>
        <v>0</v>
      </c>
      <c r="J17" s="12" t="s">
        <v>20</v>
      </c>
      <c r="K17" s="10" t="str">
        <f t="shared" si="1"/>
        <v>Not Started</v>
      </c>
      <c r="L17" s="12" t="s">
        <v>20</v>
      </c>
    </row>
    <row r="18" spans="1:12" ht="24.95" customHeight="1" x14ac:dyDescent="0.25">
      <c r="A18" s="5" t="s">
        <v>32</v>
      </c>
      <c r="B18" s="6">
        <f>'Cleanup Smoke'!B3</f>
        <v>10</v>
      </c>
      <c r="C18" s="6">
        <f>'Cleanup Smoke'!D3</f>
        <v>0</v>
      </c>
      <c r="D18" s="6">
        <f>'Cleanup Smoke'!F3</f>
        <v>0</v>
      </c>
      <c r="E18" s="6">
        <f>'Cleanup Smoke'!H3</f>
        <v>0</v>
      </c>
      <c r="F18" s="6">
        <f>COUNTIF('Cleanup Smoke'!G6:G15,"In Progress")</f>
        <v>0</v>
      </c>
      <c r="G18" s="6">
        <f>COUNTIF('Cleanup Smoke'!G6:G15,"Not Started")</f>
        <v>10</v>
      </c>
      <c r="H18" s="6">
        <f>COUNTIF('Cleanup Smoke'!G6:G15,"N/A")</f>
        <v>0</v>
      </c>
      <c r="I18" s="7">
        <f t="shared" si="0"/>
        <v>0</v>
      </c>
      <c r="J18" s="8" t="s">
        <v>20</v>
      </c>
      <c r="K18" s="6" t="str">
        <f t="shared" si="1"/>
        <v>Not Started</v>
      </c>
      <c r="L18" s="8" t="s">
        <v>20</v>
      </c>
    </row>
    <row r="19" spans="1:12" ht="24.95" customHeight="1" x14ac:dyDescent="0.25">
      <c r="A19" s="9" t="s">
        <v>33</v>
      </c>
      <c r="B19" s="10">
        <f>'Exit Criteria'!B3</f>
        <v>8</v>
      </c>
      <c r="C19" s="10">
        <f>'Exit Criteria'!D3</f>
        <v>0</v>
      </c>
      <c r="D19" s="10">
        <f>'Exit Criteria'!F3</f>
        <v>0</v>
      </c>
      <c r="E19" s="10">
        <f>'Exit Criteria'!H3</f>
        <v>0</v>
      </c>
      <c r="F19" s="10">
        <f>COUNTIF('Exit Criteria'!G6:G13,"In Progress")</f>
        <v>0</v>
      </c>
      <c r="G19" s="10">
        <f>COUNTIF('Exit Criteria'!G6:G13,"Not Started")</f>
        <v>8</v>
      </c>
      <c r="H19" s="10">
        <f>COUNTIF('Exit Criteria'!G6:G13,"N/A")</f>
        <v>0</v>
      </c>
      <c r="I19" s="11">
        <f t="shared" si="0"/>
        <v>0</v>
      </c>
      <c r="J19" s="12" t="s">
        <v>20</v>
      </c>
      <c r="K19" s="10" t="str">
        <f t="shared" si="1"/>
        <v>Not Started</v>
      </c>
      <c r="L19" s="12" t="s">
        <v>20</v>
      </c>
    </row>
  </sheetData>
  <autoFilter ref="A5:L19" xr:uid="{00000000-0009-0000-0000-000000000000}"/>
  <mergeCells count="2">
    <mergeCell ref="A1:L1"/>
    <mergeCell ref="A2:L2"/>
  </mergeCells>
  <conditionalFormatting sqref="K6:K19">
    <cfRule type="expression" dxfId="116" priority="1">
      <formula>$K6="Complete"</formula>
    </cfRule>
    <cfRule type="expression" dxfId="115" priority="2">
      <formula>$K6="Fail"</formula>
    </cfRule>
    <cfRule type="expression" dxfId="114" priority="3">
      <formula>$K6="Blocked"</formula>
    </cfRule>
    <cfRule type="expression" dxfId="113" priority="4">
      <formula>$K6="In Progress"</formula>
    </cfRule>
    <cfRule type="expression" dxfId="112" priority="5">
      <formula>$K6="Not Started"</formula>
    </cfRule>
  </conditionalFormatting>
  <hyperlinks>
    <hyperlink ref="A6" location="#'Test Setup'!A1" display="Test Setup" xr:uid="{00000000-0004-0000-0000-000000000000}"/>
    <hyperlink ref="A7" location="#'Resource Onboarding'!A1" display="Resource Onboarding" xr:uid="{00000000-0004-0000-0000-000001000000}"/>
    <hyperlink ref="A8" location="#'Workspace Switching'!A1" display="Workspace Switching" xr:uid="{00000000-0004-0000-0000-000002000000}"/>
    <hyperlink ref="A9" location="#'Deployment'!A1" display="Deployment" xr:uid="{00000000-0004-0000-0000-000003000000}"/>
    <hyperlink ref="A10" location="#'Inspection Completion'!A1" display="Inspection Completion" xr:uid="{00000000-0004-0000-0000-000004000000}"/>
    <hyperlink ref="A11" location="#'Invoice Lifecycle'!A1" display="Invoice Lifecycle" xr:uid="{00000000-0004-0000-0000-000005000000}"/>
    <hyperlink ref="A12" location="#'Gusto Payouts'!A1" display="Gusto Payouts" xr:uid="{00000000-0004-0000-0000-000006000000}"/>
    <hyperlink ref="A13" location="#'Scheduler Regression'!A1" display="Scheduler Regression" xr:uid="{00000000-0004-0000-0000-000007000000}"/>
    <hyperlink ref="A14" location="#'Employees Owners'!A1" display="Employees Owners" xr:uid="{00000000-0004-0000-0000-000008000000}"/>
    <hyperlink ref="A15" location="#'Service Model'!A1" display="Service Model" xr:uid="{00000000-0004-0000-0000-000009000000}"/>
    <hyperlink ref="A16" location="#'Help Center'!A1" display="Help Center" xr:uid="{00000000-0004-0000-0000-00000A000000}"/>
    <hyperlink ref="A17" location="#'Notifications Email'!A1" display="Notifications Email" xr:uid="{00000000-0004-0000-0000-00000B000000}"/>
    <hyperlink ref="A18" location="#'Cleanup Smoke'!A1" display="Cleanup Smoke" xr:uid="{00000000-0004-0000-0000-00000C000000}"/>
    <hyperlink ref="A19" location="#'Exit Criteria'!A1" display="Exit Criteria" xr:uid="{00000000-0004-0000-0000-00000D000000}"/>
  </hyperlinks>
  <printOptions horizontalCentered="1"/>
  <pageMargins left="0.25" right="0.25" top="0.35" bottom="0.35" header="0.15" footer="0.15"/>
  <pageSetup paperSize="9" orientation="landscape"/>
  <headerFooter>
    <oddFooter>&amp;LDEV QA Summary&amp;RPage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2F75B5"/>
    <pageSetUpPr fitToPage="1"/>
  </sheetPr>
  <dimension ref="A1:K15"/>
  <sheetViews>
    <sheetView showGridLines="0" workbookViewId="0">
      <pane xSplit="6" ySplit="5" topLeftCell="G11" activePane="bottomRight" state="frozen"/>
      <selection pane="topRight"/>
      <selection pane="bottomLeft"/>
      <selection pane="bottomRight" activeCell="K14" sqref="K14"/>
    </sheetView>
  </sheetViews>
  <sheetFormatPr defaultRowHeight="15" x14ac:dyDescent="0.25"/>
  <cols>
    <col min="1" max="1" width="13" customWidth="1"/>
    <col min="3" max="3" width="29" customWidth="1"/>
    <col min="4" max="4" width="33" customWidth="1"/>
    <col min="5" max="6" width="54" customWidth="1"/>
    <col min="7" max="7" width="15" customWidth="1"/>
    <col min="8" max="8" width="18" customWidth="1"/>
    <col min="9" max="9" width="13" customWidth="1"/>
    <col min="10" max="10" width="29" customWidth="1"/>
    <col min="11" max="11" width="32" customWidth="1"/>
  </cols>
  <sheetData>
    <row r="1" spans="1:11" ht="27.95" customHeight="1" x14ac:dyDescent="0.25">
      <c r="A1" s="22" t="s">
        <v>34</v>
      </c>
      <c r="B1" s="22"/>
      <c r="C1" s="22"/>
      <c r="D1" s="22"/>
      <c r="E1" s="22"/>
      <c r="F1" s="22"/>
      <c r="G1" s="22"/>
      <c r="H1" s="22"/>
      <c r="I1" s="22"/>
      <c r="J1" s="22"/>
      <c r="K1" s="13" t="s">
        <v>35</v>
      </c>
    </row>
    <row r="2" spans="1:11" ht="32.1" customHeight="1" x14ac:dyDescent="0.25">
      <c r="A2" s="21" t="s">
        <v>36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26.1" customHeight="1" x14ac:dyDescent="0.25">
      <c r="A3" s="1" t="s">
        <v>10</v>
      </c>
      <c r="B3" s="2">
        <f>COUNTA(A6:A15)</f>
        <v>10</v>
      </c>
      <c r="C3" s="1" t="s">
        <v>3</v>
      </c>
      <c r="D3" s="2">
        <f>COUNTIF(G6:G15,"Pass")</f>
        <v>10</v>
      </c>
      <c r="E3" s="1" t="s">
        <v>4</v>
      </c>
      <c r="F3" s="2">
        <f>COUNTIF(G6:G15,"Fail")</f>
        <v>0</v>
      </c>
      <c r="G3" s="1" t="s">
        <v>5</v>
      </c>
      <c r="H3" s="2">
        <f>COUNTIF(G6:G15,"Blocked")</f>
        <v>0</v>
      </c>
      <c r="I3" s="1" t="s">
        <v>37</v>
      </c>
      <c r="J3" s="3">
        <f>IF(B3=0,0,(COUNTIF(G6:G15,"Pass")+COUNTIF(G6:G15,"Fail")+COUNTIF(G6:G15,"Blocked")+COUNTIF(G6:G15,"N/A"))/B3)</f>
        <v>1</v>
      </c>
      <c r="K3" s="14" t="s">
        <v>38</v>
      </c>
    </row>
    <row r="4" spans="1:11" ht="8.1" customHeight="1" x14ac:dyDescent="0.25"/>
    <row r="5" spans="1:11" ht="32.1" customHeight="1" x14ac:dyDescent="0.25">
      <c r="A5" s="4" t="s">
        <v>39</v>
      </c>
      <c r="B5" s="4" t="s">
        <v>40</v>
      </c>
      <c r="C5" s="4" t="s">
        <v>41</v>
      </c>
      <c r="D5" s="4" t="s">
        <v>42</v>
      </c>
      <c r="E5" s="4" t="s">
        <v>43</v>
      </c>
      <c r="F5" s="4" t="s">
        <v>44</v>
      </c>
      <c r="G5" s="4" t="s">
        <v>45</v>
      </c>
      <c r="H5" s="4" t="s">
        <v>46</v>
      </c>
      <c r="I5" s="4" t="s">
        <v>47</v>
      </c>
      <c r="J5" s="4" t="s">
        <v>48</v>
      </c>
      <c r="K5" s="4" t="s">
        <v>18</v>
      </c>
    </row>
    <row r="6" spans="1:11" ht="44.1" hidden="1" customHeight="1" x14ac:dyDescent="0.25">
      <c r="A6" s="15" t="s">
        <v>49</v>
      </c>
      <c r="B6" s="15" t="s">
        <v>50</v>
      </c>
      <c r="C6" s="16" t="s">
        <v>51</v>
      </c>
      <c r="D6" s="16" t="s">
        <v>52</v>
      </c>
      <c r="E6" s="16" t="s">
        <v>53</v>
      </c>
      <c r="F6" s="16" t="s">
        <v>54</v>
      </c>
      <c r="G6" s="15" t="s">
        <v>11</v>
      </c>
      <c r="H6" s="16" t="s">
        <v>731</v>
      </c>
      <c r="I6" s="17">
        <v>46237</v>
      </c>
      <c r="J6" s="16" t="s">
        <v>20</v>
      </c>
      <c r="K6" s="16" t="s">
        <v>732</v>
      </c>
    </row>
    <row r="7" spans="1:11" ht="44.1" hidden="1" customHeight="1" x14ac:dyDescent="0.25">
      <c r="A7" s="15" t="s">
        <v>55</v>
      </c>
      <c r="B7" s="15" t="s">
        <v>50</v>
      </c>
      <c r="C7" s="16" t="s">
        <v>56</v>
      </c>
      <c r="D7" s="16" t="s">
        <v>57</v>
      </c>
      <c r="E7" s="16" t="s">
        <v>58</v>
      </c>
      <c r="F7" s="16" t="s">
        <v>59</v>
      </c>
      <c r="G7" s="15" t="s">
        <v>11</v>
      </c>
      <c r="H7" s="16" t="s">
        <v>734</v>
      </c>
      <c r="I7" s="17">
        <v>46237</v>
      </c>
      <c r="J7" s="16" t="s">
        <v>20</v>
      </c>
      <c r="K7" s="16" t="s">
        <v>733</v>
      </c>
    </row>
    <row r="8" spans="1:11" ht="44.1" hidden="1" customHeight="1" x14ac:dyDescent="0.25">
      <c r="A8" s="15" t="s">
        <v>60</v>
      </c>
      <c r="B8" s="15" t="s">
        <v>50</v>
      </c>
      <c r="C8" s="16" t="s">
        <v>61</v>
      </c>
      <c r="D8" s="16" t="s">
        <v>62</v>
      </c>
      <c r="E8" s="16" t="s">
        <v>63</v>
      </c>
      <c r="F8" s="16" t="s">
        <v>64</v>
      </c>
      <c r="G8" s="15" t="s">
        <v>11</v>
      </c>
      <c r="H8" s="16" t="s">
        <v>731</v>
      </c>
      <c r="I8" s="17">
        <v>46237</v>
      </c>
      <c r="J8" s="16" t="s">
        <v>20</v>
      </c>
      <c r="K8" s="16" t="s">
        <v>735</v>
      </c>
    </row>
    <row r="9" spans="1:11" ht="44.1" hidden="1" customHeight="1" x14ac:dyDescent="0.25">
      <c r="A9" s="15" t="s">
        <v>65</v>
      </c>
      <c r="B9" s="15" t="s">
        <v>50</v>
      </c>
      <c r="C9" s="16" t="s">
        <v>66</v>
      </c>
      <c r="D9" s="16" t="s">
        <v>67</v>
      </c>
      <c r="E9" s="16" t="s">
        <v>68</v>
      </c>
      <c r="F9" s="16" t="s">
        <v>69</v>
      </c>
      <c r="G9" s="15" t="s">
        <v>11</v>
      </c>
      <c r="H9" s="16" t="s">
        <v>731</v>
      </c>
      <c r="I9" s="17">
        <v>46237</v>
      </c>
      <c r="J9" s="16" t="s">
        <v>20</v>
      </c>
      <c r="K9" s="16" t="s">
        <v>736</v>
      </c>
    </row>
    <row r="10" spans="1:11" ht="44.1" hidden="1" customHeight="1" x14ac:dyDescent="0.25">
      <c r="A10" s="15" t="s">
        <v>70</v>
      </c>
      <c r="B10" s="15" t="s">
        <v>50</v>
      </c>
      <c r="C10" s="16" t="s">
        <v>71</v>
      </c>
      <c r="D10" s="16" t="s">
        <v>72</v>
      </c>
      <c r="E10" s="16" t="s">
        <v>73</v>
      </c>
      <c r="F10" s="16" t="s">
        <v>74</v>
      </c>
      <c r="G10" s="15" t="s">
        <v>11</v>
      </c>
      <c r="H10" s="16" t="s">
        <v>731</v>
      </c>
      <c r="I10" s="17">
        <v>46237</v>
      </c>
      <c r="J10" s="16" t="s">
        <v>20</v>
      </c>
      <c r="K10" s="16" t="s">
        <v>738</v>
      </c>
    </row>
    <row r="11" spans="1:11" ht="44.1" customHeight="1" x14ac:dyDescent="0.25">
      <c r="A11" s="15" t="s">
        <v>75</v>
      </c>
      <c r="B11" s="15" t="s">
        <v>76</v>
      </c>
      <c r="C11" s="16" t="s">
        <v>77</v>
      </c>
      <c r="D11" s="16" t="s">
        <v>78</v>
      </c>
      <c r="E11" s="16" t="s">
        <v>79</v>
      </c>
      <c r="F11" s="16" t="s">
        <v>80</v>
      </c>
      <c r="G11" s="15" t="s">
        <v>11</v>
      </c>
      <c r="H11" s="16" t="s">
        <v>731</v>
      </c>
      <c r="I11" s="17">
        <v>46237</v>
      </c>
      <c r="J11" s="16" t="s">
        <v>20</v>
      </c>
      <c r="K11" s="18" t="s">
        <v>740</v>
      </c>
    </row>
    <row r="12" spans="1:11" ht="44.1" customHeight="1" x14ac:dyDescent="0.25">
      <c r="A12" s="15" t="s">
        <v>81</v>
      </c>
      <c r="B12" s="15" t="s">
        <v>76</v>
      </c>
      <c r="C12" s="16" t="s">
        <v>82</v>
      </c>
      <c r="D12" s="16" t="s">
        <v>83</v>
      </c>
      <c r="E12" s="16" t="s">
        <v>84</v>
      </c>
      <c r="F12" s="16" t="s">
        <v>85</v>
      </c>
      <c r="G12" s="15" t="s">
        <v>11</v>
      </c>
      <c r="H12" s="16" t="s">
        <v>731</v>
      </c>
      <c r="I12" s="17">
        <v>46237</v>
      </c>
      <c r="J12" s="16" t="s">
        <v>20</v>
      </c>
      <c r="K12" s="18" t="s">
        <v>741</v>
      </c>
    </row>
    <row r="13" spans="1:11" ht="44.1" hidden="1" customHeight="1" x14ac:dyDescent="0.25">
      <c r="A13" s="15" t="s">
        <v>86</v>
      </c>
      <c r="B13" s="15" t="s">
        <v>50</v>
      </c>
      <c r="C13" s="16" t="s">
        <v>87</v>
      </c>
      <c r="D13" s="16" t="s">
        <v>88</v>
      </c>
      <c r="E13" s="16" t="s">
        <v>89</v>
      </c>
      <c r="F13" s="16" t="s">
        <v>90</v>
      </c>
      <c r="G13" s="15" t="s">
        <v>11</v>
      </c>
      <c r="H13" s="16" t="s">
        <v>731</v>
      </c>
      <c r="I13" s="17">
        <v>46237</v>
      </c>
      <c r="J13" s="16" t="s">
        <v>20</v>
      </c>
      <c r="K13" s="16" t="s">
        <v>737</v>
      </c>
    </row>
    <row r="14" spans="1:11" ht="44.1" customHeight="1" x14ac:dyDescent="0.25">
      <c r="A14" s="15" t="s">
        <v>91</v>
      </c>
      <c r="B14" s="15" t="s">
        <v>76</v>
      </c>
      <c r="C14" s="16" t="s">
        <v>92</v>
      </c>
      <c r="D14" s="16" t="s">
        <v>93</v>
      </c>
      <c r="E14" s="16" t="s">
        <v>94</v>
      </c>
      <c r="F14" s="16" t="s">
        <v>95</v>
      </c>
      <c r="G14" s="15" t="s">
        <v>11</v>
      </c>
      <c r="H14" s="16" t="s">
        <v>731</v>
      </c>
      <c r="I14" s="17">
        <v>46237</v>
      </c>
      <c r="J14" s="16" t="s">
        <v>20</v>
      </c>
      <c r="K14" s="16" t="s">
        <v>20</v>
      </c>
    </row>
    <row r="15" spans="1:11" ht="44.1" hidden="1" customHeight="1" x14ac:dyDescent="0.25">
      <c r="A15" s="15" t="s">
        <v>96</v>
      </c>
      <c r="B15" s="15" t="s">
        <v>50</v>
      </c>
      <c r="C15" s="16" t="s">
        <v>97</v>
      </c>
      <c r="D15" s="16" t="s">
        <v>98</v>
      </c>
      <c r="E15" s="16" t="s">
        <v>99</v>
      </c>
      <c r="F15" s="16" t="s">
        <v>100</v>
      </c>
      <c r="G15" s="15" t="s">
        <v>11</v>
      </c>
      <c r="H15" s="16" t="s">
        <v>731</v>
      </c>
      <c r="I15" s="17">
        <v>46237</v>
      </c>
      <c r="J15" s="16" t="s">
        <v>20</v>
      </c>
      <c r="K15" s="16" t="s">
        <v>739</v>
      </c>
    </row>
  </sheetData>
  <autoFilter ref="A5:K15" xr:uid="{00000000-0009-0000-0000-000001000000}">
    <filterColumn colId="1">
      <filters>
        <filter val="P1"/>
      </filters>
    </filterColumn>
  </autoFilter>
  <mergeCells count="2">
    <mergeCell ref="A1:J1"/>
    <mergeCell ref="A2:K2"/>
  </mergeCells>
  <conditionalFormatting sqref="B6:B15">
    <cfRule type="expression" dxfId="111" priority="6">
      <formula>$B6="P0"</formula>
    </cfRule>
    <cfRule type="expression" dxfId="110" priority="7">
      <formula>$B6="P1"</formula>
    </cfRule>
    <cfRule type="expression" dxfId="109" priority="8">
      <formula>$B6="P2"</formula>
    </cfRule>
  </conditionalFormatting>
  <conditionalFormatting sqref="G6:G15">
    <cfRule type="expression" dxfId="108" priority="1">
      <formula>$G6="Pass"</formula>
    </cfRule>
    <cfRule type="expression" dxfId="107" priority="2">
      <formula>$G6="Fail"</formula>
    </cfRule>
    <cfRule type="expression" dxfId="106" priority="3">
      <formula>$G6="Blocked"</formula>
    </cfRule>
    <cfRule type="expression" dxfId="105" priority="4">
      <formula>$G6="In Progress"</formula>
    </cfRule>
    <cfRule type="expression" dxfId="104" priority="5">
      <formula>$G6="N/A"</formula>
    </cfRule>
  </conditionalFormatting>
  <dataValidations count="2">
    <dataValidation type="list" showErrorMessage="1" errorTitle="Select priority" error="Choose P0, P1, or P2." sqref="B6:B15" xr:uid="{00000000-0002-0000-0100-000000000000}">
      <formula1>"P0,P1,P2"</formula1>
    </dataValidation>
    <dataValidation type="list" showInputMessage="1" showErrorMessage="1" errorTitle="Select a QA status" error="Choose a status from the dropdown list." promptTitle="Execution status" prompt="Update this field while testing." sqref="G6:G15" xr:uid="{00000000-0002-0000-0100-000002000000}">
      <formula1>"Not Started,In Progress,Pass,Fail,Blocked,N/A"</formula1>
    </dataValidation>
  </dataValidations>
  <hyperlinks>
    <hyperlink ref="K1" location="#'QA Summary'!A1" display="← QA Summary" xr:uid="{00000000-0004-0000-0100-000000000000}"/>
    <hyperlink ref="K11" r:id="rId1" xr:uid="{86502F15-CED3-4DB2-AA07-8692A98A3C3E}"/>
    <hyperlink ref="K12" r:id="rId2" xr:uid="{B9FD1BF4-03DD-4AF0-B79C-A0F873E461F9}"/>
  </hyperlinks>
  <printOptions horizontalCentered="1"/>
  <pageMargins left="0.25" right="0.25" top="0.35" bottom="0.35" header="0.15" footer="0.15"/>
  <pageSetup paperSize="9" orientation="landscape"/>
  <headerFooter>
    <oddFooter>&amp;LDEV QA - Test Setup&amp;RPage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8C95"/>
    <pageSetUpPr fitToPage="1"/>
  </sheetPr>
  <dimension ref="A1:K13"/>
  <sheetViews>
    <sheetView showGridLines="0" workbookViewId="0">
      <pane xSplit="6" ySplit="5" topLeftCell="H7" activePane="bottomRight" state="frozen"/>
      <selection pane="topRight"/>
      <selection pane="bottomLeft"/>
      <selection pane="bottomRight" activeCell="J13" sqref="J13"/>
    </sheetView>
  </sheetViews>
  <sheetFormatPr defaultRowHeight="15" x14ac:dyDescent="0.25"/>
  <cols>
    <col min="1" max="1" width="13" customWidth="1"/>
    <col min="3" max="3" width="29" customWidth="1"/>
    <col min="4" max="4" width="33" customWidth="1"/>
    <col min="5" max="6" width="54" customWidth="1"/>
    <col min="7" max="7" width="15" customWidth="1"/>
    <col min="8" max="8" width="18" customWidth="1"/>
    <col min="9" max="9" width="13" customWidth="1"/>
    <col min="10" max="10" width="29" customWidth="1"/>
    <col min="11" max="11" width="32" customWidth="1"/>
  </cols>
  <sheetData>
    <row r="1" spans="1:11" ht="27.95" customHeight="1" x14ac:dyDescent="0.25">
      <c r="A1" s="22" t="s">
        <v>101</v>
      </c>
      <c r="B1" s="22"/>
      <c r="C1" s="22"/>
      <c r="D1" s="22"/>
      <c r="E1" s="22"/>
      <c r="F1" s="22"/>
      <c r="G1" s="22"/>
      <c r="H1" s="22"/>
      <c r="I1" s="22"/>
      <c r="J1" s="22"/>
      <c r="K1" s="13" t="s">
        <v>35</v>
      </c>
    </row>
    <row r="2" spans="1:11" ht="32.1" customHeight="1" x14ac:dyDescent="0.25">
      <c r="A2" s="21" t="s">
        <v>102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26.1" customHeight="1" x14ac:dyDescent="0.25">
      <c r="A3" s="1" t="s">
        <v>10</v>
      </c>
      <c r="B3" s="2">
        <f>COUNTA(A6:A13)</f>
        <v>8</v>
      </c>
      <c r="C3" s="1" t="s">
        <v>3</v>
      </c>
      <c r="D3" s="2">
        <f>COUNTIF(G6:G13,"Pass")</f>
        <v>8</v>
      </c>
      <c r="E3" s="1" t="s">
        <v>4</v>
      </c>
      <c r="F3" s="2">
        <f>COUNTIF(G6:G13,"Fail")</f>
        <v>0</v>
      </c>
      <c r="G3" s="1" t="s">
        <v>5</v>
      </c>
      <c r="H3" s="2">
        <f>COUNTIF(G6:G13,"Blocked")</f>
        <v>0</v>
      </c>
      <c r="I3" s="1" t="s">
        <v>37</v>
      </c>
      <c r="J3" s="3">
        <f>IF(B3=0,0,(COUNTIF(G6:G13,"Pass")+COUNTIF(G6:G13,"Fail")+COUNTIF(G6:G13,"Blocked")+COUNTIF(G6:G13,"N/A"))/B3)</f>
        <v>1</v>
      </c>
      <c r="K3" s="14" t="s">
        <v>38</v>
      </c>
    </row>
    <row r="4" spans="1:11" ht="8.1" customHeight="1" x14ac:dyDescent="0.25"/>
    <row r="5" spans="1:11" ht="32.1" customHeight="1" x14ac:dyDescent="0.25">
      <c r="A5" s="4" t="s">
        <v>39</v>
      </c>
      <c r="B5" s="4" t="s">
        <v>40</v>
      </c>
      <c r="C5" s="4" t="s">
        <v>41</v>
      </c>
      <c r="D5" s="4" t="s">
        <v>42</v>
      </c>
      <c r="E5" s="4" t="s">
        <v>43</v>
      </c>
      <c r="F5" s="4" t="s">
        <v>44</v>
      </c>
      <c r="G5" s="4" t="s">
        <v>45</v>
      </c>
      <c r="H5" s="4" t="s">
        <v>46</v>
      </c>
      <c r="I5" s="4" t="s">
        <v>47</v>
      </c>
      <c r="J5" s="4" t="s">
        <v>48</v>
      </c>
      <c r="K5" s="4" t="s">
        <v>18</v>
      </c>
    </row>
    <row r="6" spans="1:11" ht="44.1" customHeight="1" x14ac:dyDescent="0.25">
      <c r="A6" s="15" t="s">
        <v>103</v>
      </c>
      <c r="B6" s="15" t="s">
        <v>50</v>
      </c>
      <c r="C6" s="16" t="s">
        <v>104</v>
      </c>
      <c r="D6" s="16" t="s">
        <v>105</v>
      </c>
      <c r="E6" s="16" t="s">
        <v>106</v>
      </c>
      <c r="F6" s="16" t="s">
        <v>107</v>
      </c>
      <c r="G6" s="15" t="s">
        <v>11</v>
      </c>
      <c r="H6" s="16" t="s">
        <v>731</v>
      </c>
      <c r="I6" s="17">
        <v>46237</v>
      </c>
      <c r="J6" s="16" t="s">
        <v>20</v>
      </c>
      <c r="K6" s="16" t="s">
        <v>742</v>
      </c>
    </row>
    <row r="7" spans="1:11" ht="44.1" customHeight="1" x14ac:dyDescent="0.25">
      <c r="A7" s="15" t="s">
        <v>108</v>
      </c>
      <c r="B7" s="15" t="s">
        <v>50</v>
      </c>
      <c r="C7" s="16" t="s">
        <v>109</v>
      </c>
      <c r="D7" s="16" t="s">
        <v>110</v>
      </c>
      <c r="E7" s="16" t="s">
        <v>111</v>
      </c>
      <c r="F7" s="16" t="s">
        <v>112</v>
      </c>
      <c r="G7" s="15" t="s">
        <v>11</v>
      </c>
      <c r="H7" s="16" t="s">
        <v>731</v>
      </c>
      <c r="I7" s="17">
        <v>46237</v>
      </c>
      <c r="J7" s="16" t="s">
        <v>20</v>
      </c>
      <c r="K7" s="16" t="s">
        <v>743</v>
      </c>
    </row>
    <row r="8" spans="1:11" ht="44.1" customHeight="1" x14ac:dyDescent="0.25">
      <c r="A8" s="15" t="s">
        <v>113</v>
      </c>
      <c r="B8" s="15" t="s">
        <v>50</v>
      </c>
      <c r="C8" s="16" t="s">
        <v>114</v>
      </c>
      <c r="D8" s="16" t="s">
        <v>115</v>
      </c>
      <c r="E8" s="16" t="s">
        <v>116</v>
      </c>
      <c r="F8" s="16" t="s">
        <v>117</v>
      </c>
      <c r="G8" s="15" t="s">
        <v>11</v>
      </c>
      <c r="H8" s="16" t="s">
        <v>731</v>
      </c>
      <c r="I8" s="17">
        <v>46237</v>
      </c>
      <c r="J8" s="16" t="s">
        <v>20</v>
      </c>
      <c r="K8" s="16" t="s">
        <v>744</v>
      </c>
    </row>
    <row r="9" spans="1:11" ht="44.1" customHeight="1" x14ac:dyDescent="0.25">
      <c r="A9" s="15" t="s">
        <v>118</v>
      </c>
      <c r="B9" s="15" t="s">
        <v>50</v>
      </c>
      <c r="C9" s="16" t="s">
        <v>119</v>
      </c>
      <c r="D9" s="16" t="s">
        <v>120</v>
      </c>
      <c r="E9" s="16" t="s">
        <v>121</v>
      </c>
      <c r="F9" s="16" t="s">
        <v>122</v>
      </c>
      <c r="G9" s="15" t="s">
        <v>11</v>
      </c>
      <c r="H9" s="16" t="s">
        <v>731</v>
      </c>
      <c r="I9" s="17">
        <v>46237</v>
      </c>
      <c r="J9" s="16" t="s">
        <v>20</v>
      </c>
      <c r="K9" s="18" t="s">
        <v>745</v>
      </c>
    </row>
    <row r="10" spans="1:11" ht="44.1" customHeight="1" x14ac:dyDescent="0.25">
      <c r="A10" s="15" t="s">
        <v>123</v>
      </c>
      <c r="B10" s="15" t="s">
        <v>50</v>
      </c>
      <c r="C10" s="16" t="s">
        <v>124</v>
      </c>
      <c r="D10" s="16" t="s">
        <v>125</v>
      </c>
      <c r="E10" s="16" t="s">
        <v>126</v>
      </c>
      <c r="F10" s="16" t="s">
        <v>127</v>
      </c>
      <c r="G10" s="15" t="s">
        <v>11</v>
      </c>
      <c r="H10" s="16" t="s">
        <v>731</v>
      </c>
      <c r="I10" s="17">
        <v>46237</v>
      </c>
      <c r="J10" s="16" t="s">
        <v>20</v>
      </c>
      <c r="K10" s="16" t="s">
        <v>746</v>
      </c>
    </row>
    <row r="11" spans="1:11" ht="44.1" customHeight="1" x14ac:dyDescent="0.25">
      <c r="A11" s="15" t="s">
        <v>128</v>
      </c>
      <c r="B11" s="15" t="s">
        <v>50</v>
      </c>
      <c r="C11" s="16" t="s">
        <v>129</v>
      </c>
      <c r="D11" s="16" t="s">
        <v>130</v>
      </c>
      <c r="E11" s="16" t="s">
        <v>131</v>
      </c>
      <c r="F11" s="16" t="s">
        <v>132</v>
      </c>
      <c r="G11" s="15" t="s">
        <v>11</v>
      </c>
      <c r="H11" s="16" t="s">
        <v>731</v>
      </c>
      <c r="I11" s="17">
        <v>46237</v>
      </c>
      <c r="J11" s="16" t="s">
        <v>20</v>
      </c>
      <c r="K11" s="16" t="s">
        <v>747</v>
      </c>
    </row>
    <row r="12" spans="1:11" ht="44.1" customHeight="1" x14ac:dyDescent="0.25">
      <c r="A12" s="15" t="s">
        <v>133</v>
      </c>
      <c r="B12" s="15" t="s">
        <v>76</v>
      </c>
      <c r="C12" s="16" t="s">
        <v>134</v>
      </c>
      <c r="D12" s="16" t="s">
        <v>135</v>
      </c>
      <c r="E12" s="16" t="s">
        <v>136</v>
      </c>
      <c r="F12" s="16" t="s">
        <v>137</v>
      </c>
      <c r="G12" s="15" t="s">
        <v>11</v>
      </c>
      <c r="H12" s="16" t="s">
        <v>731</v>
      </c>
      <c r="I12" s="17">
        <v>46237</v>
      </c>
      <c r="J12" s="16" t="s">
        <v>20</v>
      </c>
      <c r="K12" s="16" t="s">
        <v>748</v>
      </c>
    </row>
    <row r="13" spans="1:11" ht="44.1" customHeight="1" x14ac:dyDescent="0.25">
      <c r="A13" s="15" t="s">
        <v>138</v>
      </c>
      <c r="B13" s="15" t="s">
        <v>50</v>
      </c>
      <c r="C13" s="16" t="s">
        <v>139</v>
      </c>
      <c r="D13" s="16" t="s">
        <v>140</v>
      </c>
      <c r="E13" s="16" t="s">
        <v>141</v>
      </c>
      <c r="F13" s="16" t="s">
        <v>142</v>
      </c>
      <c r="G13" s="15" t="s">
        <v>11</v>
      </c>
      <c r="H13" s="16" t="s">
        <v>731</v>
      </c>
      <c r="I13" s="17">
        <v>46237</v>
      </c>
      <c r="J13" s="16" t="s">
        <v>20</v>
      </c>
      <c r="K13" s="16" t="s">
        <v>20</v>
      </c>
    </row>
  </sheetData>
  <autoFilter ref="A5:K13" xr:uid="{00000000-0009-0000-0000-000002000000}"/>
  <mergeCells count="2">
    <mergeCell ref="A1:J1"/>
    <mergeCell ref="A2:K2"/>
  </mergeCells>
  <conditionalFormatting sqref="B6:B13">
    <cfRule type="expression" dxfId="103" priority="6">
      <formula>$B6="P0"</formula>
    </cfRule>
    <cfRule type="expression" dxfId="102" priority="7">
      <formula>$B6="P1"</formula>
    </cfRule>
    <cfRule type="expression" dxfId="101" priority="8">
      <formula>$B6="P2"</formula>
    </cfRule>
  </conditionalFormatting>
  <conditionalFormatting sqref="G6:G13">
    <cfRule type="expression" dxfId="100" priority="1">
      <formula>$G6="Pass"</formula>
    </cfRule>
    <cfRule type="expression" dxfId="99" priority="2">
      <formula>$G6="Fail"</formula>
    </cfRule>
    <cfRule type="expression" dxfId="98" priority="3">
      <formula>$G6="Blocked"</formula>
    </cfRule>
    <cfRule type="expression" dxfId="97" priority="4">
      <formula>$G6="In Progress"</formula>
    </cfRule>
    <cfRule type="expression" dxfId="96" priority="5">
      <formula>$G6="N/A"</formula>
    </cfRule>
  </conditionalFormatting>
  <dataValidations count="2">
    <dataValidation type="list" showErrorMessage="1" errorTitle="Select priority" error="Choose P0, P1, or P2." sqref="B6:B13" xr:uid="{00000000-0002-0000-0200-000000000000}">
      <formula1>"P0,P1,P2"</formula1>
    </dataValidation>
    <dataValidation type="list" showInputMessage="1" showErrorMessage="1" errorTitle="Select a QA status" error="Choose a status from the dropdown list." promptTitle="Execution status" prompt="Update this field while testing." sqref="G6:G13" xr:uid="{00000000-0002-0000-0200-000002000000}">
      <formula1>"Not Started,In Progress,Pass,Fail,Blocked,N/A"</formula1>
    </dataValidation>
  </dataValidations>
  <hyperlinks>
    <hyperlink ref="K1" location="#'QA Summary'!A1" display="← QA Summary" xr:uid="{00000000-0004-0000-0200-000000000000}"/>
    <hyperlink ref="K9" r:id="rId1" xr:uid="{461EC29E-8064-4569-BD1A-716FFFBB13CC}"/>
  </hyperlinks>
  <printOptions horizontalCentered="1"/>
  <pageMargins left="0.25" right="0.25" top="0.35" bottom="0.35" header="0.15" footer="0.15"/>
  <pageSetup paperSize="9" orientation="landscape"/>
  <headerFooter>
    <oddFooter>&amp;LDEV QA - Resource Onboarding&amp;RPage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F75B5"/>
    <pageSetUpPr fitToPage="1"/>
  </sheetPr>
  <dimension ref="A1:K11"/>
  <sheetViews>
    <sheetView showGridLines="0" workbookViewId="0">
      <pane xSplit="6" ySplit="5" topLeftCell="G8" activePane="bottomRight" state="frozen"/>
      <selection pane="topRight"/>
      <selection pane="bottomLeft"/>
      <selection pane="bottomRight" activeCell="K11" sqref="K11"/>
    </sheetView>
  </sheetViews>
  <sheetFormatPr defaultRowHeight="15" x14ac:dyDescent="0.25"/>
  <cols>
    <col min="1" max="1" width="13" customWidth="1"/>
    <col min="3" max="3" width="29" customWidth="1"/>
    <col min="4" max="4" width="33" customWidth="1"/>
    <col min="5" max="6" width="54" customWidth="1"/>
    <col min="7" max="7" width="15" customWidth="1"/>
    <col min="8" max="8" width="18" customWidth="1"/>
    <col min="9" max="9" width="13" customWidth="1"/>
    <col min="10" max="10" width="29" customWidth="1"/>
    <col min="11" max="11" width="32" customWidth="1"/>
  </cols>
  <sheetData>
    <row r="1" spans="1:11" ht="27.95" customHeight="1" x14ac:dyDescent="0.25">
      <c r="A1" s="22" t="s">
        <v>143</v>
      </c>
      <c r="B1" s="22"/>
      <c r="C1" s="22"/>
      <c r="D1" s="22"/>
      <c r="E1" s="22"/>
      <c r="F1" s="22"/>
      <c r="G1" s="22"/>
      <c r="H1" s="22"/>
      <c r="I1" s="22"/>
      <c r="J1" s="22"/>
      <c r="K1" s="13" t="s">
        <v>35</v>
      </c>
    </row>
    <row r="2" spans="1:11" ht="32.1" customHeight="1" x14ac:dyDescent="0.25">
      <c r="A2" s="21" t="s">
        <v>144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26.1" customHeight="1" x14ac:dyDescent="0.25">
      <c r="A3" s="1" t="s">
        <v>10</v>
      </c>
      <c r="B3" s="2">
        <f>COUNTA(A6:A11)</f>
        <v>6</v>
      </c>
      <c r="C3" s="1" t="s">
        <v>3</v>
      </c>
      <c r="D3" s="2">
        <f>COUNTIF(G6:G11,"Pass")</f>
        <v>6</v>
      </c>
      <c r="E3" s="1" t="s">
        <v>4</v>
      </c>
      <c r="F3" s="2">
        <f>COUNTIF(G6:G11,"Fail")</f>
        <v>0</v>
      </c>
      <c r="G3" s="1" t="s">
        <v>5</v>
      </c>
      <c r="H3" s="2">
        <f>COUNTIF(G6:G11,"Blocked")</f>
        <v>0</v>
      </c>
      <c r="I3" s="1" t="s">
        <v>37</v>
      </c>
      <c r="J3" s="3">
        <f>IF(B3=0,0,(COUNTIF(G6:G11,"Pass")+COUNTIF(G6:G11,"Fail")+COUNTIF(G6:G11,"Blocked")+COUNTIF(G6:G11,"N/A"))/B3)</f>
        <v>1</v>
      </c>
      <c r="K3" s="14" t="s">
        <v>38</v>
      </c>
    </row>
    <row r="4" spans="1:11" ht="8.1" customHeight="1" x14ac:dyDescent="0.25"/>
    <row r="5" spans="1:11" ht="32.1" customHeight="1" x14ac:dyDescent="0.25">
      <c r="A5" s="4" t="s">
        <v>39</v>
      </c>
      <c r="B5" s="4" t="s">
        <v>40</v>
      </c>
      <c r="C5" s="4" t="s">
        <v>41</v>
      </c>
      <c r="D5" s="4" t="s">
        <v>42</v>
      </c>
      <c r="E5" s="4" t="s">
        <v>43</v>
      </c>
      <c r="F5" s="4" t="s">
        <v>44</v>
      </c>
      <c r="G5" s="4" t="s">
        <v>45</v>
      </c>
      <c r="H5" s="4" t="s">
        <v>46</v>
      </c>
      <c r="I5" s="4" t="s">
        <v>47</v>
      </c>
      <c r="J5" s="4" t="s">
        <v>48</v>
      </c>
      <c r="K5" s="4" t="s">
        <v>18</v>
      </c>
    </row>
    <row r="6" spans="1:11" ht="44.1" customHeight="1" x14ac:dyDescent="0.25">
      <c r="A6" s="15" t="s">
        <v>145</v>
      </c>
      <c r="B6" s="15" t="s">
        <v>50</v>
      </c>
      <c r="C6" s="16" t="s">
        <v>146</v>
      </c>
      <c r="D6" s="16" t="s">
        <v>147</v>
      </c>
      <c r="E6" s="16" t="s">
        <v>148</v>
      </c>
      <c r="F6" s="16" t="s">
        <v>149</v>
      </c>
      <c r="G6" s="15" t="s">
        <v>11</v>
      </c>
      <c r="H6" s="16" t="s">
        <v>731</v>
      </c>
      <c r="I6" s="17">
        <v>46237</v>
      </c>
      <c r="J6" s="16" t="s">
        <v>20</v>
      </c>
      <c r="K6" s="16" t="s">
        <v>749</v>
      </c>
    </row>
    <row r="7" spans="1:11" ht="44.1" customHeight="1" x14ac:dyDescent="0.25">
      <c r="A7" s="15" t="s">
        <v>150</v>
      </c>
      <c r="B7" s="15" t="s">
        <v>50</v>
      </c>
      <c r="C7" s="16" t="s">
        <v>151</v>
      </c>
      <c r="D7" s="16" t="s">
        <v>152</v>
      </c>
      <c r="E7" s="16" t="s">
        <v>153</v>
      </c>
      <c r="F7" s="16" t="s">
        <v>154</v>
      </c>
      <c r="G7" s="15" t="s">
        <v>11</v>
      </c>
      <c r="H7" s="16" t="s">
        <v>731</v>
      </c>
      <c r="I7" s="17">
        <v>46237</v>
      </c>
      <c r="J7" s="16" t="s">
        <v>20</v>
      </c>
      <c r="K7" s="16" t="s">
        <v>749</v>
      </c>
    </row>
    <row r="8" spans="1:11" ht="44.1" customHeight="1" x14ac:dyDescent="0.25">
      <c r="A8" s="15" t="s">
        <v>155</v>
      </c>
      <c r="B8" s="15" t="s">
        <v>50</v>
      </c>
      <c r="C8" s="16" t="s">
        <v>156</v>
      </c>
      <c r="D8" s="16" t="s">
        <v>157</v>
      </c>
      <c r="E8" s="16" t="s">
        <v>158</v>
      </c>
      <c r="F8" s="16" t="s">
        <v>159</v>
      </c>
      <c r="G8" s="15" t="s">
        <v>11</v>
      </c>
      <c r="H8" s="16" t="s">
        <v>731</v>
      </c>
      <c r="I8" s="17">
        <v>46237</v>
      </c>
      <c r="J8" s="16" t="s">
        <v>20</v>
      </c>
      <c r="K8" s="16" t="s">
        <v>749</v>
      </c>
    </row>
    <row r="9" spans="1:11" ht="44.1" customHeight="1" x14ac:dyDescent="0.25">
      <c r="A9" s="15" t="s">
        <v>160</v>
      </c>
      <c r="B9" s="15" t="s">
        <v>76</v>
      </c>
      <c r="C9" s="16" t="s">
        <v>161</v>
      </c>
      <c r="D9" s="16" t="s">
        <v>162</v>
      </c>
      <c r="E9" s="16" t="s">
        <v>163</v>
      </c>
      <c r="F9" s="16" t="s">
        <v>164</v>
      </c>
      <c r="G9" s="15" t="s">
        <v>11</v>
      </c>
      <c r="H9" s="16" t="s">
        <v>731</v>
      </c>
      <c r="I9" s="17">
        <v>46237</v>
      </c>
      <c r="J9" s="16" t="s">
        <v>20</v>
      </c>
      <c r="K9" s="16" t="s">
        <v>20</v>
      </c>
    </row>
    <row r="10" spans="1:11" ht="44.1" customHeight="1" x14ac:dyDescent="0.25">
      <c r="A10" s="15" t="s">
        <v>165</v>
      </c>
      <c r="B10" s="15" t="s">
        <v>50</v>
      </c>
      <c r="C10" s="16" t="s">
        <v>166</v>
      </c>
      <c r="D10" s="16" t="s">
        <v>167</v>
      </c>
      <c r="E10" s="16" t="s">
        <v>168</v>
      </c>
      <c r="F10" s="16" t="s">
        <v>169</v>
      </c>
      <c r="G10" s="15" t="s">
        <v>11</v>
      </c>
      <c r="H10" s="16" t="s">
        <v>731</v>
      </c>
      <c r="I10" s="17">
        <v>46237</v>
      </c>
      <c r="J10" s="16" t="s">
        <v>20</v>
      </c>
      <c r="K10" s="16" t="s">
        <v>20</v>
      </c>
    </row>
    <row r="11" spans="1:11" ht="44.1" customHeight="1" x14ac:dyDescent="0.25">
      <c r="A11" s="15" t="s">
        <v>170</v>
      </c>
      <c r="B11" s="15" t="s">
        <v>50</v>
      </c>
      <c r="C11" s="16" t="s">
        <v>171</v>
      </c>
      <c r="D11" s="16" t="s">
        <v>172</v>
      </c>
      <c r="E11" s="16" t="s">
        <v>173</v>
      </c>
      <c r="F11" s="16" t="s">
        <v>174</v>
      </c>
      <c r="G11" s="15" t="s">
        <v>11</v>
      </c>
      <c r="H11" s="16" t="s">
        <v>731</v>
      </c>
      <c r="I11" s="17">
        <v>46237</v>
      </c>
      <c r="J11" s="16" t="s">
        <v>20</v>
      </c>
      <c r="K11" s="16" t="s">
        <v>20</v>
      </c>
    </row>
  </sheetData>
  <autoFilter ref="A5:K11" xr:uid="{00000000-0009-0000-0000-000003000000}"/>
  <mergeCells count="2">
    <mergeCell ref="A1:J1"/>
    <mergeCell ref="A2:K2"/>
  </mergeCells>
  <conditionalFormatting sqref="B6:B11">
    <cfRule type="expression" dxfId="95" priority="6">
      <formula>$B6="P0"</formula>
    </cfRule>
    <cfRule type="expression" dxfId="94" priority="7">
      <formula>$B6="P1"</formula>
    </cfRule>
    <cfRule type="expression" dxfId="93" priority="8">
      <formula>$B6="P2"</formula>
    </cfRule>
  </conditionalFormatting>
  <conditionalFormatting sqref="G6:G11">
    <cfRule type="expression" dxfId="92" priority="1">
      <formula>$G6="Pass"</formula>
    </cfRule>
    <cfRule type="expression" dxfId="91" priority="2">
      <formula>$G6="Fail"</formula>
    </cfRule>
    <cfRule type="expression" dxfId="90" priority="3">
      <formula>$G6="Blocked"</formula>
    </cfRule>
    <cfRule type="expression" dxfId="89" priority="4">
      <formula>$G6="In Progress"</formula>
    </cfRule>
    <cfRule type="expression" dxfId="88" priority="5">
      <formula>$G6="N/A"</formula>
    </cfRule>
  </conditionalFormatting>
  <dataValidations count="2">
    <dataValidation type="list" showErrorMessage="1" errorTitle="Select priority" error="Choose P0, P1, or P2." sqref="B6:B11" xr:uid="{00000000-0002-0000-0300-000000000000}">
      <formula1>"P0,P1,P2"</formula1>
    </dataValidation>
    <dataValidation type="list" showInputMessage="1" showErrorMessage="1" errorTitle="Select a QA status" error="Choose a status from the dropdown list." promptTitle="Execution status" prompt="Update this field while testing." sqref="G6:G11" xr:uid="{00000000-0002-0000-0300-000002000000}">
      <formula1>"Not Started,In Progress,Pass,Fail,Blocked,N/A"</formula1>
    </dataValidation>
  </dataValidations>
  <hyperlinks>
    <hyperlink ref="K1" location="#'QA Summary'!A1" display="← QA Summary" xr:uid="{00000000-0004-0000-0300-000000000000}"/>
  </hyperlinks>
  <printOptions horizontalCentered="1"/>
  <pageMargins left="0.25" right="0.25" top="0.35" bottom="0.35" header="0.15" footer="0.15"/>
  <pageSetup paperSize="9" orientation="landscape"/>
  <headerFooter>
    <oddFooter>&amp;LDEV QA - Workspace Switching&amp;RPage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8C95"/>
    <pageSetUpPr fitToPage="1"/>
  </sheetPr>
  <dimension ref="A1:K15"/>
  <sheetViews>
    <sheetView showGridLines="0" workbookViewId="0">
      <pane xSplit="6" ySplit="5" topLeftCell="G6" activePane="bottomRight" state="frozen"/>
      <selection pane="topRight"/>
      <selection pane="bottomLeft"/>
      <selection pane="bottomRight" activeCell="G16" sqref="G16"/>
    </sheetView>
  </sheetViews>
  <sheetFormatPr defaultRowHeight="15" x14ac:dyDescent="0.25"/>
  <cols>
    <col min="1" max="1" width="13" customWidth="1"/>
    <col min="3" max="3" width="29" customWidth="1"/>
    <col min="4" max="4" width="33" customWidth="1"/>
    <col min="5" max="6" width="54" customWidth="1"/>
    <col min="7" max="7" width="15" customWidth="1"/>
    <col min="8" max="8" width="18" customWidth="1"/>
    <col min="9" max="9" width="13" customWidth="1"/>
    <col min="10" max="10" width="29" customWidth="1"/>
    <col min="11" max="11" width="32" customWidth="1"/>
  </cols>
  <sheetData>
    <row r="1" spans="1:11" ht="27.95" customHeight="1" x14ac:dyDescent="0.25">
      <c r="A1" s="22" t="s">
        <v>175</v>
      </c>
      <c r="B1" s="22"/>
      <c r="C1" s="22"/>
      <c r="D1" s="22"/>
      <c r="E1" s="22"/>
      <c r="F1" s="22"/>
      <c r="G1" s="22"/>
      <c r="H1" s="22"/>
      <c r="I1" s="22"/>
      <c r="J1" s="22"/>
      <c r="K1" s="13" t="s">
        <v>35</v>
      </c>
    </row>
    <row r="2" spans="1:11" ht="32.1" customHeight="1" x14ac:dyDescent="0.25">
      <c r="A2" s="21" t="s">
        <v>176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26.1" customHeight="1" x14ac:dyDescent="0.25">
      <c r="A3" s="1" t="s">
        <v>10</v>
      </c>
      <c r="B3" s="2">
        <f>COUNTA(A6:A15)</f>
        <v>10</v>
      </c>
      <c r="C3" s="1" t="s">
        <v>3</v>
      </c>
      <c r="D3" s="2">
        <f>COUNTIF(G6:G15,"Pass")</f>
        <v>10</v>
      </c>
      <c r="E3" s="1" t="s">
        <v>4</v>
      </c>
      <c r="F3" s="2">
        <f>COUNTIF(G6:G15,"Fail")</f>
        <v>0</v>
      </c>
      <c r="G3" s="1" t="s">
        <v>5</v>
      </c>
      <c r="H3" s="2">
        <f>COUNTIF(G6:G15,"Blocked")</f>
        <v>0</v>
      </c>
      <c r="I3" s="1" t="s">
        <v>37</v>
      </c>
      <c r="J3" s="3">
        <f>IF(B3=0,0,(COUNTIF(G6:G15,"Pass")+COUNTIF(G6:G15,"Fail")+COUNTIF(G6:G15,"Blocked")+COUNTIF(G6:G15,"N/A"))/B3)</f>
        <v>1</v>
      </c>
      <c r="K3" s="14" t="s">
        <v>38</v>
      </c>
    </row>
    <row r="4" spans="1:11" ht="8.1" customHeight="1" x14ac:dyDescent="0.25"/>
    <row r="5" spans="1:11" ht="32.1" customHeight="1" x14ac:dyDescent="0.25">
      <c r="A5" s="4" t="s">
        <v>39</v>
      </c>
      <c r="B5" s="4" t="s">
        <v>40</v>
      </c>
      <c r="C5" s="4" t="s">
        <v>41</v>
      </c>
      <c r="D5" s="4" t="s">
        <v>42</v>
      </c>
      <c r="E5" s="4" t="s">
        <v>43</v>
      </c>
      <c r="F5" s="4" t="s">
        <v>44</v>
      </c>
      <c r="G5" s="4" t="s">
        <v>45</v>
      </c>
      <c r="H5" s="4" t="s">
        <v>46</v>
      </c>
      <c r="I5" s="4" t="s">
        <v>47</v>
      </c>
      <c r="J5" s="4" t="s">
        <v>48</v>
      </c>
      <c r="K5" s="4" t="s">
        <v>18</v>
      </c>
    </row>
    <row r="6" spans="1:11" ht="44.1" customHeight="1" x14ac:dyDescent="0.25">
      <c r="A6" s="15" t="s">
        <v>177</v>
      </c>
      <c r="B6" s="15" t="s">
        <v>50</v>
      </c>
      <c r="C6" s="16" t="s">
        <v>178</v>
      </c>
      <c r="D6" s="16" t="s">
        <v>179</v>
      </c>
      <c r="E6" s="16" t="s">
        <v>180</v>
      </c>
      <c r="F6" s="16" t="s">
        <v>181</v>
      </c>
      <c r="G6" s="15" t="s">
        <v>11</v>
      </c>
      <c r="H6" s="16" t="s">
        <v>731</v>
      </c>
      <c r="I6" s="17">
        <v>46237</v>
      </c>
      <c r="J6" s="16" t="s">
        <v>20</v>
      </c>
      <c r="K6" s="16" t="s">
        <v>750</v>
      </c>
    </row>
    <row r="7" spans="1:11" ht="44.1" customHeight="1" x14ac:dyDescent="0.25">
      <c r="A7" s="15" t="s">
        <v>182</v>
      </c>
      <c r="B7" s="15" t="s">
        <v>50</v>
      </c>
      <c r="C7" s="16" t="s">
        <v>183</v>
      </c>
      <c r="D7" s="16" t="s">
        <v>184</v>
      </c>
      <c r="E7" s="16" t="s">
        <v>185</v>
      </c>
      <c r="F7" s="16" t="s">
        <v>186</v>
      </c>
      <c r="G7" s="15" t="s">
        <v>11</v>
      </c>
      <c r="H7" s="16" t="s">
        <v>731</v>
      </c>
      <c r="I7" s="17">
        <v>46237</v>
      </c>
      <c r="J7" s="16" t="s">
        <v>20</v>
      </c>
      <c r="K7" s="16" t="s">
        <v>750</v>
      </c>
    </row>
    <row r="8" spans="1:11" ht="44.1" customHeight="1" x14ac:dyDescent="0.25">
      <c r="A8" s="15" t="s">
        <v>187</v>
      </c>
      <c r="B8" s="15" t="s">
        <v>50</v>
      </c>
      <c r="C8" s="16" t="s">
        <v>188</v>
      </c>
      <c r="D8" s="16" t="s">
        <v>189</v>
      </c>
      <c r="E8" s="16" t="s">
        <v>190</v>
      </c>
      <c r="F8" s="16" t="s">
        <v>191</v>
      </c>
      <c r="G8" s="15" t="s">
        <v>11</v>
      </c>
      <c r="H8" s="16" t="s">
        <v>731</v>
      </c>
      <c r="I8" s="17">
        <v>46237</v>
      </c>
      <c r="J8" s="16" t="s">
        <v>20</v>
      </c>
      <c r="K8" s="16" t="s">
        <v>20</v>
      </c>
    </row>
    <row r="9" spans="1:11" ht="44.1" customHeight="1" x14ac:dyDescent="0.25">
      <c r="A9" s="15" t="s">
        <v>192</v>
      </c>
      <c r="B9" s="15" t="s">
        <v>50</v>
      </c>
      <c r="C9" s="16" t="s">
        <v>193</v>
      </c>
      <c r="D9" s="16" t="s">
        <v>194</v>
      </c>
      <c r="E9" s="16" t="s">
        <v>195</v>
      </c>
      <c r="F9" s="16" t="s">
        <v>196</v>
      </c>
      <c r="G9" s="15" t="s">
        <v>11</v>
      </c>
      <c r="H9" s="16" t="s">
        <v>731</v>
      </c>
      <c r="I9" s="17">
        <v>46237</v>
      </c>
      <c r="J9" s="16" t="s">
        <v>20</v>
      </c>
      <c r="K9" s="16" t="s">
        <v>20</v>
      </c>
    </row>
    <row r="10" spans="1:11" ht="44.1" customHeight="1" x14ac:dyDescent="0.25">
      <c r="A10" s="15" t="s">
        <v>197</v>
      </c>
      <c r="B10" s="15" t="s">
        <v>50</v>
      </c>
      <c r="C10" s="16" t="s">
        <v>198</v>
      </c>
      <c r="D10" s="16" t="s">
        <v>199</v>
      </c>
      <c r="E10" s="16" t="s">
        <v>200</v>
      </c>
      <c r="F10" s="16" t="s">
        <v>201</v>
      </c>
      <c r="G10" s="15" t="s">
        <v>11</v>
      </c>
      <c r="H10" s="16" t="s">
        <v>731</v>
      </c>
      <c r="I10" s="17">
        <v>46237</v>
      </c>
      <c r="J10" s="16" t="s">
        <v>20</v>
      </c>
      <c r="K10" s="16" t="s">
        <v>20</v>
      </c>
    </row>
    <row r="11" spans="1:11" ht="44.1" customHeight="1" x14ac:dyDescent="0.25">
      <c r="A11" s="15" t="s">
        <v>202</v>
      </c>
      <c r="B11" s="15" t="s">
        <v>76</v>
      </c>
      <c r="C11" s="16" t="s">
        <v>203</v>
      </c>
      <c r="D11" s="16" t="s">
        <v>204</v>
      </c>
      <c r="E11" s="16" t="s">
        <v>205</v>
      </c>
      <c r="F11" s="16" t="s">
        <v>206</v>
      </c>
      <c r="G11" s="15" t="s">
        <v>11</v>
      </c>
      <c r="H11" s="16" t="s">
        <v>731</v>
      </c>
      <c r="I11" s="17">
        <v>46237</v>
      </c>
      <c r="J11" s="16" t="s">
        <v>20</v>
      </c>
      <c r="K11" s="16" t="s">
        <v>20</v>
      </c>
    </row>
    <row r="12" spans="1:11" ht="44.1" customHeight="1" x14ac:dyDescent="0.25">
      <c r="A12" s="15" t="s">
        <v>207</v>
      </c>
      <c r="B12" s="15" t="s">
        <v>50</v>
      </c>
      <c r="C12" s="16" t="s">
        <v>208</v>
      </c>
      <c r="D12" s="16" t="s">
        <v>209</v>
      </c>
      <c r="E12" s="16" t="s">
        <v>210</v>
      </c>
      <c r="F12" s="16" t="s">
        <v>211</v>
      </c>
      <c r="G12" s="15" t="s">
        <v>11</v>
      </c>
      <c r="H12" s="16" t="s">
        <v>731</v>
      </c>
      <c r="I12" s="17">
        <v>46237</v>
      </c>
      <c r="J12" s="16" t="s">
        <v>20</v>
      </c>
      <c r="K12" s="16" t="s">
        <v>20</v>
      </c>
    </row>
    <row r="13" spans="1:11" ht="44.1" customHeight="1" x14ac:dyDescent="0.25">
      <c r="A13" s="15" t="s">
        <v>212</v>
      </c>
      <c r="B13" s="15" t="s">
        <v>50</v>
      </c>
      <c r="C13" s="16" t="s">
        <v>213</v>
      </c>
      <c r="D13" s="16" t="s">
        <v>214</v>
      </c>
      <c r="E13" s="16" t="s">
        <v>215</v>
      </c>
      <c r="F13" s="16" t="s">
        <v>216</v>
      </c>
      <c r="G13" s="15" t="s">
        <v>11</v>
      </c>
      <c r="H13" s="16" t="s">
        <v>731</v>
      </c>
      <c r="I13" s="17">
        <v>46237</v>
      </c>
      <c r="J13" s="16" t="s">
        <v>20</v>
      </c>
      <c r="K13" s="16" t="s">
        <v>20</v>
      </c>
    </row>
    <row r="14" spans="1:11" ht="44.1" customHeight="1" x14ac:dyDescent="0.25">
      <c r="A14" s="15" t="s">
        <v>217</v>
      </c>
      <c r="B14" s="15" t="s">
        <v>50</v>
      </c>
      <c r="C14" s="16" t="s">
        <v>218</v>
      </c>
      <c r="D14" s="16" t="s">
        <v>219</v>
      </c>
      <c r="E14" s="16" t="s">
        <v>220</v>
      </c>
      <c r="F14" s="16" t="s">
        <v>221</v>
      </c>
      <c r="G14" s="15" t="s">
        <v>11</v>
      </c>
      <c r="H14" s="16" t="s">
        <v>731</v>
      </c>
      <c r="I14" s="17">
        <v>46237</v>
      </c>
      <c r="J14" s="16" t="s">
        <v>20</v>
      </c>
      <c r="K14" s="16" t="s">
        <v>20</v>
      </c>
    </row>
    <row r="15" spans="1:11" ht="44.1" customHeight="1" x14ac:dyDescent="0.25">
      <c r="A15" s="15" t="s">
        <v>222</v>
      </c>
      <c r="B15" s="15" t="s">
        <v>76</v>
      </c>
      <c r="C15" s="16" t="s">
        <v>223</v>
      </c>
      <c r="D15" s="16" t="s">
        <v>224</v>
      </c>
      <c r="E15" s="16" t="s">
        <v>225</v>
      </c>
      <c r="F15" s="16" t="s">
        <v>226</v>
      </c>
      <c r="G15" s="15" t="s">
        <v>11</v>
      </c>
      <c r="H15" s="16" t="s">
        <v>731</v>
      </c>
      <c r="I15" s="17">
        <v>46237</v>
      </c>
      <c r="J15" s="16" t="s">
        <v>20</v>
      </c>
      <c r="K15" s="16" t="s">
        <v>20</v>
      </c>
    </row>
  </sheetData>
  <autoFilter ref="A5:K15" xr:uid="{00000000-0009-0000-0000-000004000000}"/>
  <mergeCells count="2">
    <mergeCell ref="A1:J1"/>
    <mergeCell ref="A2:K2"/>
  </mergeCells>
  <conditionalFormatting sqref="B6:B15">
    <cfRule type="expression" dxfId="87" priority="6">
      <formula>$B6="P0"</formula>
    </cfRule>
    <cfRule type="expression" dxfId="86" priority="7">
      <formula>$B6="P1"</formula>
    </cfRule>
    <cfRule type="expression" dxfId="85" priority="8">
      <formula>$B6="P2"</formula>
    </cfRule>
  </conditionalFormatting>
  <conditionalFormatting sqref="G6:G15">
    <cfRule type="expression" dxfId="84" priority="1">
      <formula>$G6="Pass"</formula>
    </cfRule>
    <cfRule type="expression" dxfId="83" priority="2">
      <formula>$G6="Fail"</formula>
    </cfRule>
    <cfRule type="expression" dxfId="82" priority="3">
      <formula>$G6="Blocked"</formula>
    </cfRule>
    <cfRule type="expression" dxfId="81" priority="4">
      <formula>$G6="In Progress"</formula>
    </cfRule>
    <cfRule type="expression" dxfId="80" priority="5">
      <formula>$G6="N/A"</formula>
    </cfRule>
  </conditionalFormatting>
  <dataValidations count="2">
    <dataValidation type="list" showErrorMessage="1" errorTitle="Select priority" error="Choose P0, P1, or P2." sqref="B6:B15" xr:uid="{00000000-0002-0000-0400-000000000000}">
      <formula1>"P0,P1,P2"</formula1>
    </dataValidation>
    <dataValidation type="list" showInputMessage="1" showErrorMessage="1" errorTitle="Select a QA status" error="Choose a status from the dropdown list." promptTitle="Execution status" prompt="Update this field while testing." sqref="G6:G15" xr:uid="{00000000-0002-0000-0400-000002000000}">
      <formula1>"Not Started,In Progress,Pass,Fail,Blocked,N/A"</formula1>
    </dataValidation>
  </dataValidations>
  <hyperlinks>
    <hyperlink ref="K1" location="#'QA Summary'!A1" display="← QA Summary" xr:uid="{00000000-0004-0000-0400-000000000000}"/>
  </hyperlinks>
  <printOptions horizontalCentered="1"/>
  <pageMargins left="0.25" right="0.25" top="0.35" bottom="0.35" header="0.15" footer="0.15"/>
  <pageSetup paperSize="9" orientation="landscape"/>
  <headerFooter>
    <oddFooter>&amp;LDEV QA - Deployment&amp;RPage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F75B5"/>
    <pageSetUpPr fitToPage="1"/>
  </sheetPr>
  <dimension ref="A1:K16"/>
  <sheetViews>
    <sheetView showGridLines="0" workbookViewId="0">
      <pane xSplit="6" ySplit="5" topLeftCell="G6" activePane="bottomRight" state="frozen"/>
      <selection pane="topRight"/>
      <selection pane="bottomLeft"/>
      <selection pane="bottomRight" activeCell="L16" sqref="L16"/>
    </sheetView>
  </sheetViews>
  <sheetFormatPr defaultRowHeight="15" x14ac:dyDescent="0.25"/>
  <cols>
    <col min="1" max="1" width="13" customWidth="1"/>
    <col min="3" max="3" width="29" customWidth="1"/>
    <col min="4" max="4" width="33" customWidth="1"/>
    <col min="5" max="6" width="54" customWidth="1"/>
    <col min="7" max="7" width="15" customWidth="1"/>
    <col min="8" max="8" width="18" customWidth="1"/>
    <col min="9" max="9" width="13" customWidth="1"/>
    <col min="10" max="10" width="29" customWidth="1"/>
    <col min="11" max="11" width="32" customWidth="1"/>
  </cols>
  <sheetData>
    <row r="1" spans="1:11" ht="27.95" customHeight="1" x14ac:dyDescent="0.25">
      <c r="A1" s="22" t="s">
        <v>227</v>
      </c>
      <c r="B1" s="22"/>
      <c r="C1" s="22"/>
      <c r="D1" s="22"/>
      <c r="E1" s="22"/>
      <c r="F1" s="22"/>
      <c r="G1" s="22"/>
      <c r="H1" s="22"/>
      <c r="I1" s="22"/>
      <c r="J1" s="22"/>
      <c r="K1" s="13" t="s">
        <v>35</v>
      </c>
    </row>
    <row r="2" spans="1:11" ht="32.1" customHeight="1" x14ac:dyDescent="0.25">
      <c r="A2" s="21" t="s">
        <v>228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26.1" customHeight="1" x14ac:dyDescent="0.25">
      <c r="A3" s="1" t="s">
        <v>10</v>
      </c>
      <c r="B3" s="2">
        <f>COUNTA(A6:A16)</f>
        <v>11</v>
      </c>
      <c r="C3" s="1" t="s">
        <v>3</v>
      </c>
      <c r="D3" s="2">
        <f>COUNTIF(G6:G16,"Pass")</f>
        <v>9</v>
      </c>
      <c r="E3" s="1" t="s">
        <v>4</v>
      </c>
      <c r="F3" s="2">
        <f>COUNTIF(G6:G16,"Fail")</f>
        <v>0</v>
      </c>
      <c r="G3" s="1" t="s">
        <v>5</v>
      </c>
      <c r="H3" s="2">
        <f>COUNTIF(G6:G16,"Blocked")</f>
        <v>1</v>
      </c>
      <c r="I3" s="1" t="s">
        <v>37</v>
      </c>
      <c r="J3" s="3">
        <f>IF(B3=0,0,(COUNTIF(G6:G16,"Pass")+COUNTIF(G6:G16,"Fail")+COUNTIF(G6:G16,"Blocked")+COUNTIF(G6:G16,"N/A"))/B3)</f>
        <v>0.90909090909090906</v>
      </c>
      <c r="K3" s="14" t="s">
        <v>38</v>
      </c>
    </row>
    <row r="4" spans="1:11" ht="8.1" customHeight="1" x14ac:dyDescent="0.25"/>
    <row r="5" spans="1:11" ht="32.1" customHeight="1" x14ac:dyDescent="0.25">
      <c r="A5" s="4" t="s">
        <v>39</v>
      </c>
      <c r="B5" s="4" t="s">
        <v>40</v>
      </c>
      <c r="C5" s="4" t="s">
        <v>41</v>
      </c>
      <c r="D5" s="4" t="s">
        <v>42</v>
      </c>
      <c r="E5" s="4" t="s">
        <v>43</v>
      </c>
      <c r="F5" s="4" t="s">
        <v>44</v>
      </c>
      <c r="G5" s="4" t="s">
        <v>45</v>
      </c>
      <c r="H5" s="4" t="s">
        <v>46</v>
      </c>
      <c r="I5" s="4" t="s">
        <v>47</v>
      </c>
      <c r="J5" s="4" t="s">
        <v>48</v>
      </c>
      <c r="K5" s="4" t="s">
        <v>18</v>
      </c>
    </row>
    <row r="6" spans="1:11" ht="44.1" customHeight="1" x14ac:dyDescent="0.25">
      <c r="A6" s="15" t="s">
        <v>229</v>
      </c>
      <c r="B6" s="15" t="s">
        <v>50</v>
      </c>
      <c r="C6" s="16" t="s">
        <v>230</v>
      </c>
      <c r="D6" s="16" t="s">
        <v>231</v>
      </c>
      <c r="E6" s="16" t="s">
        <v>232</v>
      </c>
      <c r="F6" s="16" t="s">
        <v>233</v>
      </c>
      <c r="G6" s="15" t="s">
        <v>11</v>
      </c>
      <c r="H6" s="16" t="s">
        <v>731</v>
      </c>
      <c r="I6" s="17">
        <v>46237</v>
      </c>
      <c r="J6" s="16" t="s">
        <v>20</v>
      </c>
      <c r="K6" s="16" t="s">
        <v>751</v>
      </c>
    </row>
    <row r="7" spans="1:11" ht="44.1" customHeight="1" x14ac:dyDescent="0.25">
      <c r="A7" s="15" t="s">
        <v>234</v>
      </c>
      <c r="B7" s="15" t="s">
        <v>76</v>
      </c>
      <c r="C7" s="16" t="s">
        <v>235</v>
      </c>
      <c r="D7" s="16" t="s">
        <v>236</v>
      </c>
      <c r="E7" s="16" t="s">
        <v>237</v>
      </c>
      <c r="F7" s="16" t="s">
        <v>238</v>
      </c>
      <c r="G7" s="15" t="s">
        <v>11</v>
      </c>
      <c r="H7" s="16" t="s">
        <v>731</v>
      </c>
      <c r="I7" s="17">
        <v>46237</v>
      </c>
      <c r="J7" s="16" t="s">
        <v>20</v>
      </c>
      <c r="K7" s="16" t="s">
        <v>751</v>
      </c>
    </row>
    <row r="8" spans="1:11" ht="44.1" customHeight="1" x14ac:dyDescent="0.25">
      <c r="A8" s="15" t="s">
        <v>239</v>
      </c>
      <c r="B8" s="15" t="s">
        <v>50</v>
      </c>
      <c r="C8" s="16" t="s">
        <v>240</v>
      </c>
      <c r="D8" s="16" t="s">
        <v>241</v>
      </c>
      <c r="E8" s="16" t="s">
        <v>242</v>
      </c>
      <c r="F8" s="16" t="s">
        <v>243</v>
      </c>
      <c r="G8" s="15" t="s">
        <v>11</v>
      </c>
      <c r="H8" s="16" t="s">
        <v>731</v>
      </c>
      <c r="I8" s="17">
        <v>46237</v>
      </c>
      <c r="J8" s="16" t="s">
        <v>20</v>
      </c>
      <c r="K8" s="16" t="s">
        <v>751</v>
      </c>
    </row>
    <row r="9" spans="1:11" ht="44.1" customHeight="1" x14ac:dyDescent="0.25">
      <c r="A9" s="15" t="s">
        <v>244</v>
      </c>
      <c r="B9" s="15" t="s">
        <v>50</v>
      </c>
      <c r="C9" s="16" t="s">
        <v>245</v>
      </c>
      <c r="D9" s="16" t="s">
        <v>246</v>
      </c>
      <c r="E9" s="16" t="s">
        <v>247</v>
      </c>
      <c r="F9" s="16" t="s">
        <v>248</v>
      </c>
      <c r="G9" s="15" t="s">
        <v>11</v>
      </c>
      <c r="H9" s="16" t="s">
        <v>731</v>
      </c>
      <c r="I9" s="17">
        <v>46237</v>
      </c>
      <c r="J9" s="16" t="s">
        <v>20</v>
      </c>
      <c r="K9" s="16" t="s">
        <v>751</v>
      </c>
    </row>
    <row r="10" spans="1:11" ht="44.1" customHeight="1" x14ac:dyDescent="0.25">
      <c r="A10" s="15" t="s">
        <v>249</v>
      </c>
      <c r="B10" s="15" t="s">
        <v>50</v>
      </c>
      <c r="C10" s="16" t="s">
        <v>250</v>
      </c>
      <c r="D10" s="16" t="s">
        <v>251</v>
      </c>
      <c r="E10" s="16" t="s">
        <v>252</v>
      </c>
      <c r="F10" s="16" t="s">
        <v>253</v>
      </c>
      <c r="G10" s="15" t="s">
        <v>11</v>
      </c>
      <c r="H10" s="16" t="s">
        <v>731</v>
      </c>
      <c r="I10" s="17">
        <v>46237</v>
      </c>
      <c r="J10" s="16" t="s">
        <v>20</v>
      </c>
      <c r="K10" s="16" t="s">
        <v>751</v>
      </c>
    </row>
    <row r="11" spans="1:11" ht="44.1" customHeight="1" x14ac:dyDescent="0.25">
      <c r="A11" s="15" t="s">
        <v>254</v>
      </c>
      <c r="B11" s="15" t="s">
        <v>50</v>
      </c>
      <c r="C11" s="16" t="s">
        <v>255</v>
      </c>
      <c r="D11" s="16" t="s">
        <v>256</v>
      </c>
      <c r="E11" s="16" t="s">
        <v>257</v>
      </c>
      <c r="F11" s="16" t="s">
        <v>258</v>
      </c>
      <c r="G11" s="15" t="s">
        <v>11</v>
      </c>
      <c r="H11" s="16" t="s">
        <v>731</v>
      </c>
      <c r="I11" s="17">
        <v>46237</v>
      </c>
      <c r="J11" s="16" t="s">
        <v>20</v>
      </c>
      <c r="K11" s="16" t="s">
        <v>751</v>
      </c>
    </row>
    <row r="12" spans="1:11" ht="44.1" customHeight="1" x14ac:dyDescent="0.25">
      <c r="A12" s="15" t="s">
        <v>259</v>
      </c>
      <c r="B12" s="15" t="s">
        <v>50</v>
      </c>
      <c r="C12" s="16" t="s">
        <v>260</v>
      </c>
      <c r="D12" s="16" t="s">
        <v>261</v>
      </c>
      <c r="E12" s="16" t="s">
        <v>262</v>
      </c>
      <c r="F12" s="16" t="s">
        <v>263</v>
      </c>
      <c r="G12" s="15" t="s">
        <v>5</v>
      </c>
      <c r="H12" s="16" t="s">
        <v>20</v>
      </c>
      <c r="I12" s="17"/>
      <c r="J12" s="16" t="s">
        <v>20</v>
      </c>
      <c r="K12" s="16" t="s">
        <v>20</v>
      </c>
    </row>
    <row r="13" spans="1:11" ht="44.1" customHeight="1" x14ac:dyDescent="0.25">
      <c r="A13" s="15" t="s">
        <v>264</v>
      </c>
      <c r="B13" s="15" t="s">
        <v>50</v>
      </c>
      <c r="C13" s="16" t="s">
        <v>265</v>
      </c>
      <c r="D13" s="16" t="s">
        <v>266</v>
      </c>
      <c r="E13" s="16" t="s">
        <v>267</v>
      </c>
      <c r="F13" s="16" t="s">
        <v>268</v>
      </c>
      <c r="G13" s="15" t="s">
        <v>11</v>
      </c>
      <c r="H13" s="16" t="s">
        <v>731</v>
      </c>
      <c r="I13" s="17">
        <v>46237</v>
      </c>
      <c r="J13" s="16" t="s">
        <v>20</v>
      </c>
      <c r="K13" s="16" t="s">
        <v>751</v>
      </c>
    </row>
    <row r="14" spans="1:11" ht="44.1" customHeight="1" x14ac:dyDescent="0.25">
      <c r="A14" s="15" t="s">
        <v>269</v>
      </c>
      <c r="B14" s="15" t="s">
        <v>50</v>
      </c>
      <c r="C14" s="16" t="s">
        <v>270</v>
      </c>
      <c r="D14" s="16" t="s">
        <v>271</v>
      </c>
      <c r="E14" s="16" t="s">
        <v>272</v>
      </c>
      <c r="F14" s="16" t="s">
        <v>273</v>
      </c>
      <c r="G14" s="15" t="s">
        <v>13</v>
      </c>
      <c r="H14" s="16" t="s">
        <v>731</v>
      </c>
      <c r="I14" s="17">
        <v>46237</v>
      </c>
      <c r="J14" s="16" t="s">
        <v>20</v>
      </c>
      <c r="K14" s="16" t="s">
        <v>20</v>
      </c>
    </row>
    <row r="15" spans="1:11" ht="44.1" customHeight="1" x14ac:dyDescent="0.25">
      <c r="A15" s="15" t="s">
        <v>274</v>
      </c>
      <c r="B15" s="15" t="s">
        <v>50</v>
      </c>
      <c r="C15" s="16" t="s">
        <v>275</v>
      </c>
      <c r="D15" s="16" t="s">
        <v>276</v>
      </c>
      <c r="E15" s="16" t="s">
        <v>277</v>
      </c>
      <c r="F15" s="16" t="s">
        <v>278</v>
      </c>
      <c r="G15" s="15" t="s">
        <v>11</v>
      </c>
      <c r="H15" s="16" t="s">
        <v>731</v>
      </c>
      <c r="I15" s="17">
        <v>46237</v>
      </c>
      <c r="J15" s="16" t="s">
        <v>20</v>
      </c>
      <c r="K15" s="18" t="s">
        <v>752</v>
      </c>
    </row>
    <row r="16" spans="1:11" ht="44.1" customHeight="1" x14ac:dyDescent="0.25">
      <c r="A16" s="15" t="s">
        <v>279</v>
      </c>
      <c r="B16" s="15" t="s">
        <v>50</v>
      </c>
      <c r="C16" s="16" t="s">
        <v>280</v>
      </c>
      <c r="D16" s="16" t="s">
        <v>281</v>
      </c>
      <c r="E16" s="16" t="s">
        <v>282</v>
      </c>
      <c r="F16" s="16" t="s">
        <v>283</v>
      </c>
      <c r="G16" s="15" t="s">
        <v>11</v>
      </c>
      <c r="H16" s="18" t="s">
        <v>731</v>
      </c>
      <c r="I16" s="17">
        <v>46237</v>
      </c>
      <c r="J16" s="16" t="s">
        <v>20</v>
      </c>
      <c r="K16" s="18" t="s">
        <v>753</v>
      </c>
    </row>
  </sheetData>
  <autoFilter ref="A5:K16" xr:uid="{00000000-0009-0000-0000-000005000000}"/>
  <mergeCells count="2">
    <mergeCell ref="A1:J1"/>
    <mergeCell ref="A2:K2"/>
  </mergeCells>
  <conditionalFormatting sqref="B6:B16">
    <cfRule type="expression" dxfId="79" priority="6">
      <formula>$B6="P0"</formula>
    </cfRule>
    <cfRule type="expression" dxfId="78" priority="7">
      <formula>$B6="P1"</formula>
    </cfRule>
    <cfRule type="expression" dxfId="77" priority="8">
      <formula>$B6="P2"</formula>
    </cfRule>
  </conditionalFormatting>
  <conditionalFormatting sqref="G6:G16">
    <cfRule type="expression" dxfId="76" priority="1">
      <formula>$G6="Pass"</formula>
    </cfRule>
    <cfRule type="expression" dxfId="75" priority="2">
      <formula>$G6="Fail"</formula>
    </cfRule>
    <cfRule type="expression" dxfId="74" priority="3">
      <formula>$G6="Blocked"</formula>
    </cfRule>
    <cfRule type="expression" dxfId="73" priority="4">
      <formula>$G6="In Progress"</formula>
    </cfRule>
    <cfRule type="expression" dxfId="72" priority="5">
      <formula>$G6="N/A"</formula>
    </cfRule>
  </conditionalFormatting>
  <dataValidations count="2">
    <dataValidation type="list" showErrorMessage="1" errorTitle="Select priority" error="Choose P0, P1, or P2." sqref="B6:B16" xr:uid="{00000000-0002-0000-0500-000000000000}">
      <formula1>"P0,P1,P2"</formula1>
    </dataValidation>
    <dataValidation type="list" showInputMessage="1" showErrorMessage="1" errorTitle="Select a QA status" error="Choose a status from the dropdown list." promptTitle="Execution status" prompt="Update this field while testing." sqref="G6:G16" xr:uid="{00000000-0002-0000-0500-000002000000}">
      <formula1>"Not Started,In Progress,Pass,Fail,Blocked,N/A"</formula1>
    </dataValidation>
  </dataValidations>
  <hyperlinks>
    <hyperlink ref="K1" location="#'QA Summary'!A1" display="← QA Summary" xr:uid="{00000000-0004-0000-0500-000000000000}"/>
    <hyperlink ref="K15" r:id="rId1" xr:uid="{8DEB9CF6-480F-48DE-B7EA-DB02AF109837}"/>
    <hyperlink ref="K16" r:id="rId2" xr:uid="{EC900990-ECF6-4F89-9E78-CF4BBAC7F01E}"/>
  </hyperlinks>
  <printOptions horizontalCentered="1"/>
  <pageMargins left="0.25" right="0.25" top="0.35" bottom="0.35" header="0.15" footer="0.15"/>
  <pageSetup paperSize="9" orientation="landscape"/>
  <headerFooter>
    <oddFooter>&amp;LDEV QA - Inspection Completion&amp;RPage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8C95"/>
    <pageSetUpPr fitToPage="1"/>
  </sheetPr>
  <dimension ref="A1:K19"/>
  <sheetViews>
    <sheetView showGridLines="0" workbookViewId="0">
      <pane xSplit="6" ySplit="5" topLeftCell="G6" activePane="bottomRight" state="frozen"/>
      <selection pane="topRight"/>
      <selection pane="bottomLeft"/>
      <selection pane="bottomRight" activeCell="K12" sqref="K12"/>
    </sheetView>
  </sheetViews>
  <sheetFormatPr defaultRowHeight="15" x14ac:dyDescent="0.25"/>
  <cols>
    <col min="1" max="1" width="13" customWidth="1"/>
    <col min="3" max="3" width="29" customWidth="1"/>
    <col min="4" max="4" width="33" customWidth="1"/>
    <col min="5" max="6" width="54" customWidth="1"/>
    <col min="7" max="7" width="15" customWidth="1"/>
    <col min="8" max="8" width="18" customWidth="1"/>
    <col min="9" max="9" width="13" customWidth="1"/>
    <col min="10" max="10" width="29" customWidth="1"/>
    <col min="11" max="11" width="32" customWidth="1"/>
  </cols>
  <sheetData>
    <row r="1" spans="1:11" ht="27.95" customHeight="1" x14ac:dyDescent="0.25">
      <c r="A1" s="22" t="s">
        <v>284</v>
      </c>
      <c r="B1" s="22"/>
      <c r="C1" s="22"/>
      <c r="D1" s="22"/>
      <c r="E1" s="22"/>
      <c r="F1" s="22"/>
      <c r="G1" s="22"/>
      <c r="H1" s="22"/>
      <c r="I1" s="22"/>
      <c r="J1" s="22"/>
      <c r="K1" s="13" t="s">
        <v>35</v>
      </c>
    </row>
    <row r="2" spans="1:11" ht="32.1" customHeight="1" x14ac:dyDescent="0.25">
      <c r="A2" s="21" t="s">
        <v>285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26.1" customHeight="1" x14ac:dyDescent="0.25">
      <c r="A3" s="1" t="s">
        <v>10</v>
      </c>
      <c r="B3" s="2">
        <f>COUNTA(A6:A19)</f>
        <v>14</v>
      </c>
      <c r="C3" s="1" t="s">
        <v>3</v>
      </c>
      <c r="D3" s="2">
        <f>COUNTIF(G6:G19,"Pass")</f>
        <v>7</v>
      </c>
      <c r="E3" s="1" t="s">
        <v>4</v>
      </c>
      <c r="F3" s="2">
        <f>COUNTIF(G6:G19,"Fail")</f>
        <v>0</v>
      </c>
      <c r="G3" s="1" t="s">
        <v>5</v>
      </c>
      <c r="H3" s="2">
        <f>COUNTIF(G6:G19,"Blocked")</f>
        <v>0</v>
      </c>
      <c r="I3" s="1" t="s">
        <v>37</v>
      </c>
      <c r="J3" s="3">
        <f>IF(B3=0,0,(COUNTIF(G6:G19,"Pass")+COUNTIF(G6:G19,"Fail")+COUNTIF(G6:G19,"Blocked")+COUNTIF(G6:G19,"N/A"))/B3)</f>
        <v>0.5</v>
      </c>
      <c r="K3" s="14" t="s">
        <v>38</v>
      </c>
    </row>
    <row r="4" spans="1:11" ht="8.1" customHeight="1" x14ac:dyDescent="0.25"/>
    <row r="5" spans="1:11" ht="32.1" customHeight="1" x14ac:dyDescent="0.25">
      <c r="A5" s="4" t="s">
        <v>39</v>
      </c>
      <c r="B5" s="4" t="s">
        <v>40</v>
      </c>
      <c r="C5" s="4" t="s">
        <v>41</v>
      </c>
      <c r="D5" s="4" t="s">
        <v>42</v>
      </c>
      <c r="E5" s="4" t="s">
        <v>43</v>
      </c>
      <c r="F5" s="4" t="s">
        <v>44</v>
      </c>
      <c r="G5" s="4" t="s">
        <v>45</v>
      </c>
      <c r="H5" s="4" t="s">
        <v>46</v>
      </c>
      <c r="I5" s="4" t="s">
        <v>47</v>
      </c>
      <c r="J5" s="4" t="s">
        <v>48</v>
      </c>
      <c r="K5" s="4" t="s">
        <v>18</v>
      </c>
    </row>
    <row r="6" spans="1:11" ht="44.1" customHeight="1" x14ac:dyDescent="0.25">
      <c r="A6" s="15" t="s">
        <v>286</v>
      </c>
      <c r="B6" s="15" t="s">
        <v>50</v>
      </c>
      <c r="C6" s="16" t="s">
        <v>287</v>
      </c>
      <c r="D6" s="16" t="s">
        <v>288</v>
      </c>
      <c r="E6" s="16" t="s">
        <v>289</v>
      </c>
      <c r="F6" s="16" t="s">
        <v>290</v>
      </c>
      <c r="G6" s="15" t="s">
        <v>11</v>
      </c>
      <c r="H6" s="16" t="s">
        <v>731</v>
      </c>
      <c r="I6" s="17"/>
      <c r="J6" s="16" t="s">
        <v>20</v>
      </c>
      <c r="K6" s="18" t="s">
        <v>754</v>
      </c>
    </row>
    <row r="7" spans="1:11" ht="44.1" customHeight="1" x14ac:dyDescent="0.25">
      <c r="A7" s="15" t="s">
        <v>291</v>
      </c>
      <c r="B7" s="15" t="s">
        <v>50</v>
      </c>
      <c r="C7" s="16" t="s">
        <v>292</v>
      </c>
      <c r="D7" s="16" t="s">
        <v>293</v>
      </c>
      <c r="E7" s="16" t="s">
        <v>294</v>
      </c>
      <c r="F7" s="16" t="s">
        <v>295</v>
      </c>
      <c r="G7" s="15" t="s">
        <v>11</v>
      </c>
      <c r="H7" s="16" t="s">
        <v>731</v>
      </c>
      <c r="I7" s="17"/>
      <c r="J7" s="16" t="s">
        <v>20</v>
      </c>
      <c r="K7" s="18" t="s">
        <v>754</v>
      </c>
    </row>
    <row r="8" spans="1:11" ht="44.1" customHeight="1" x14ac:dyDescent="0.25">
      <c r="A8" s="15" t="s">
        <v>296</v>
      </c>
      <c r="B8" s="15" t="s">
        <v>50</v>
      </c>
      <c r="C8" s="16" t="s">
        <v>297</v>
      </c>
      <c r="D8" s="16" t="s">
        <v>298</v>
      </c>
      <c r="E8" s="16" t="s">
        <v>299</v>
      </c>
      <c r="F8" s="16" t="s">
        <v>300</v>
      </c>
      <c r="G8" s="15" t="s">
        <v>11</v>
      </c>
      <c r="H8" s="16" t="s">
        <v>731</v>
      </c>
      <c r="I8" s="17"/>
      <c r="J8" s="16" t="s">
        <v>20</v>
      </c>
      <c r="K8" s="18" t="s">
        <v>752</v>
      </c>
    </row>
    <row r="9" spans="1:11" ht="44.1" customHeight="1" x14ac:dyDescent="0.25">
      <c r="A9" s="15" t="s">
        <v>301</v>
      </c>
      <c r="B9" s="15" t="s">
        <v>50</v>
      </c>
      <c r="C9" s="16" t="s">
        <v>302</v>
      </c>
      <c r="D9" s="16" t="s">
        <v>303</v>
      </c>
      <c r="E9" s="16" t="s">
        <v>304</v>
      </c>
      <c r="F9" s="16" t="s">
        <v>305</v>
      </c>
      <c r="G9" s="15" t="s">
        <v>11</v>
      </c>
      <c r="H9" s="16" t="s">
        <v>731</v>
      </c>
      <c r="I9" s="17"/>
      <c r="J9" s="16" t="s">
        <v>20</v>
      </c>
      <c r="K9" s="18" t="s">
        <v>754</v>
      </c>
    </row>
    <row r="10" spans="1:11" ht="44.1" customHeight="1" x14ac:dyDescent="0.25">
      <c r="A10" s="15" t="s">
        <v>306</v>
      </c>
      <c r="B10" s="15" t="s">
        <v>76</v>
      </c>
      <c r="C10" s="16" t="s">
        <v>307</v>
      </c>
      <c r="D10" s="16" t="s">
        <v>308</v>
      </c>
      <c r="E10" s="16" t="s">
        <v>309</v>
      </c>
      <c r="F10" s="16" t="s">
        <v>310</v>
      </c>
      <c r="G10" s="15" t="s">
        <v>11</v>
      </c>
      <c r="H10" s="16" t="s">
        <v>731</v>
      </c>
      <c r="I10" s="17"/>
      <c r="J10" s="16" t="s">
        <v>20</v>
      </c>
      <c r="K10" s="16" t="s">
        <v>755</v>
      </c>
    </row>
    <row r="11" spans="1:11" ht="44.1" customHeight="1" x14ac:dyDescent="0.25">
      <c r="A11" s="15" t="s">
        <v>311</v>
      </c>
      <c r="B11" s="15" t="s">
        <v>50</v>
      </c>
      <c r="C11" s="16" t="s">
        <v>312</v>
      </c>
      <c r="D11" s="16" t="s">
        <v>308</v>
      </c>
      <c r="E11" s="16" t="s">
        <v>313</v>
      </c>
      <c r="F11" s="16" t="s">
        <v>314</v>
      </c>
      <c r="G11" s="15" t="s">
        <v>11</v>
      </c>
      <c r="H11" s="19" t="s">
        <v>731</v>
      </c>
      <c r="I11" s="17"/>
      <c r="J11" s="16" t="s">
        <v>20</v>
      </c>
      <c r="K11" s="16" t="s">
        <v>755</v>
      </c>
    </row>
    <row r="12" spans="1:11" ht="44.1" customHeight="1" x14ac:dyDescent="0.25">
      <c r="A12" s="15" t="s">
        <v>315</v>
      </c>
      <c r="B12" s="15" t="s">
        <v>50</v>
      </c>
      <c r="C12" s="16" t="s">
        <v>316</v>
      </c>
      <c r="D12" s="16" t="s">
        <v>317</v>
      </c>
      <c r="E12" s="16" t="s">
        <v>318</v>
      </c>
      <c r="F12" s="16" t="s">
        <v>319</v>
      </c>
      <c r="G12" s="15" t="s">
        <v>11</v>
      </c>
      <c r="H12" s="19" t="s">
        <v>731</v>
      </c>
      <c r="I12" s="17"/>
      <c r="J12" s="16" t="s">
        <v>20</v>
      </c>
      <c r="K12" s="16" t="s">
        <v>20</v>
      </c>
    </row>
    <row r="13" spans="1:11" ht="44.1" customHeight="1" x14ac:dyDescent="0.25">
      <c r="A13" s="15" t="s">
        <v>320</v>
      </c>
      <c r="B13" s="15" t="s">
        <v>50</v>
      </c>
      <c r="C13" s="16" t="s">
        <v>321</v>
      </c>
      <c r="D13" s="16" t="s">
        <v>322</v>
      </c>
      <c r="E13" s="16" t="s">
        <v>323</v>
      </c>
      <c r="F13" s="16" t="s">
        <v>324</v>
      </c>
      <c r="G13" s="15" t="s">
        <v>14</v>
      </c>
      <c r="H13" s="16" t="s">
        <v>20</v>
      </c>
      <c r="I13" s="17"/>
      <c r="J13" s="16" t="s">
        <v>20</v>
      </c>
      <c r="K13" s="16" t="s">
        <v>20</v>
      </c>
    </row>
    <row r="14" spans="1:11" ht="44.1" customHeight="1" x14ac:dyDescent="0.25">
      <c r="A14" s="15" t="s">
        <v>325</v>
      </c>
      <c r="B14" s="15" t="s">
        <v>50</v>
      </c>
      <c r="C14" s="16" t="s">
        <v>326</v>
      </c>
      <c r="D14" s="16" t="s">
        <v>327</v>
      </c>
      <c r="E14" s="16" t="s">
        <v>328</v>
      </c>
      <c r="F14" s="16" t="s">
        <v>329</v>
      </c>
      <c r="G14" s="15" t="s">
        <v>14</v>
      </c>
      <c r="H14" s="16" t="s">
        <v>20</v>
      </c>
      <c r="I14" s="17"/>
      <c r="J14" s="16" t="s">
        <v>20</v>
      </c>
      <c r="K14" s="16" t="s">
        <v>20</v>
      </c>
    </row>
    <row r="15" spans="1:11" ht="44.1" customHeight="1" x14ac:dyDescent="0.25">
      <c r="A15" s="15" t="s">
        <v>330</v>
      </c>
      <c r="B15" s="15" t="s">
        <v>50</v>
      </c>
      <c r="C15" s="16" t="s">
        <v>331</v>
      </c>
      <c r="D15" s="16" t="s">
        <v>332</v>
      </c>
      <c r="E15" s="16" t="s">
        <v>333</v>
      </c>
      <c r="F15" s="16" t="s">
        <v>334</v>
      </c>
      <c r="G15" s="15" t="s">
        <v>14</v>
      </c>
      <c r="H15" s="16" t="s">
        <v>20</v>
      </c>
      <c r="I15" s="17"/>
      <c r="J15" s="16" t="s">
        <v>20</v>
      </c>
      <c r="K15" s="16" t="s">
        <v>20</v>
      </c>
    </row>
    <row r="16" spans="1:11" ht="44.1" customHeight="1" x14ac:dyDescent="0.25">
      <c r="A16" s="15" t="s">
        <v>335</v>
      </c>
      <c r="B16" s="15" t="s">
        <v>50</v>
      </c>
      <c r="C16" s="16" t="s">
        <v>336</v>
      </c>
      <c r="D16" s="16" t="s">
        <v>337</v>
      </c>
      <c r="E16" s="16" t="s">
        <v>338</v>
      </c>
      <c r="F16" s="16" t="s">
        <v>339</v>
      </c>
      <c r="G16" s="15" t="s">
        <v>14</v>
      </c>
      <c r="H16" s="16" t="s">
        <v>20</v>
      </c>
      <c r="I16" s="17"/>
      <c r="J16" s="16" t="s">
        <v>20</v>
      </c>
      <c r="K16" s="16" t="s">
        <v>20</v>
      </c>
    </row>
    <row r="17" spans="1:11" ht="44.1" customHeight="1" x14ac:dyDescent="0.25">
      <c r="A17" s="15" t="s">
        <v>340</v>
      </c>
      <c r="B17" s="15" t="s">
        <v>50</v>
      </c>
      <c r="C17" s="16" t="s">
        <v>341</v>
      </c>
      <c r="D17" s="16" t="s">
        <v>342</v>
      </c>
      <c r="E17" s="16" t="s">
        <v>343</v>
      </c>
      <c r="F17" s="16" t="s">
        <v>344</v>
      </c>
      <c r="G17" s="15" t="s">
        <v>14</v>
      </c>
      <c r="H17" s="16" t="s">
        <v>20</v>
      </c>
      <c r="I17" s="17"/>
      <c r="J17" s="16" t="s">
        <v>20</v>
      </c>
      <c r="K17" s="16" t="s">
        <v>20</v>
      </c>
    </row>
    <row r="18" spans="1:11" ht="44.1" customHeight="1" x14ac:dyDescent="0.25">
      <c r="A18" s="15" t="s">
        <v>345</v>
      </c>
      <c r="B18" s="15" t="s">
        <v>50</v>
      </c>
      <c r="C18" s="16" t="s">
        <v>346</v>
      </c>
      <c r="D18" s="16" t="s">
        <v>347</v>
      </c>
      <c r="E18" s="16" t="s">
        <v>348</v>
      </c>
      <c r="F18" s="16" t="s">
        <v>349</v>
      </c>
      <c r="G18" s="15" t="s">
        <v>14</v>
      </c>
      <c r="H18" s="16" t="s">
        <v>20</v>
      </c>
      <c r="I18" s="17"/>
      <c r="J18" s="16" t="s">
        <v>20</v>
      </c>
      <c r="K18" s="16" t="s">
        <v>20</v>
      </c>
    </row>
    <row r="19" spans="1:11" ht="44.1" customHeight="1" x14ac:dyDescent="0.25">
      <c r="A19" s="15" t="s">
        <v>350</v>
      </c>
      <c r="B19" s="15" t="s">
        <v>76</v>
      </c>
      <c r="C19" s="16" t="s">
        <v>351</v>
      </c>
      <c r="D19" s="16" t="s">
        <v>352</v>
      </c>
      <c r="E19" s="16" t="s">
        <v>353</v>
      </c>
      <c r="F19" s="16" t="s">
        <v>354</v>
      </c>
      <c r="G19" s="15" t="s">
        <v>14</v>
      </c>
      <c r="H19" s="16" t="s">
        <v>20</v>
      </c>
      <c r="I19" s="17"/>
      <c r="J19" s="16" t="s">
        <v>20</v>
      </c>
      <c r="K19" s="16" t="s">
        <v>20</v>
      </c>
    </row>
  </sheetData>
  <autoFilter ref="A5:K19" xr:uid="{00000000-0009-0000-0000-000006000000}"/>
  <mergeCells count="2">
    <mergeCell ref="A1:J1"/>
    <mergeCell ref="A2:K2"/>
  </mergeCells>
  <conditionalFormatting sqref="B6:B19">
    <cfRule type="expression" dxfId="71" priority="6">
      <formula>$B6="P0"</formula>
    </cfRule>
    <cfRule type="expression" dxfId="70" priority="7">
      <formula>$B6="P1"</formula>
    </cfRule>
    <cfRule type="expression" dxfId="69" priority="8">
      <formula>$B6="P2"</formula>
    </cfRule>
  </conditionalFormatting>
  <conditionalFormatting sqref="G6:G19">
    <cfRule type="expression" dxfId="68" priority="1">
      <formula>$G6="Pass"</formula>
    </cfRule>
    <cfRule type="expression" dxfId="67" priority="2">
      <formula>$G6="Fail"</formula>
    </cfRule>
    <cfRule type="expression" dxfId="66" priority="3">
      <formula>$G6="Blocked"</formula>
    </cfRule>
    <cfRule type="expression" dxfId="65" priority="4">
      <formula>$G6="In Progress"</formula>
    </cfRule>
    <cfRule type="expression" dxfId="64" priority="5">
      <formula>$G6="N/A"</formula>
    </cfRule>
  </conditionalFormatting>
  <dataValidations count="2">
    <dataValidation type="list" showErrorMessage="1" errorTitle="Select priority" error="Choose P0, P1, or P2." sqref="B6:B19" xr:uid="{00000000-0002-0000-0600-000000000000}">
      <formula1>"P0,P1,P2"</formula1>
    </dataValidation>
    <dataValidation type="list" showInputMessage="1" showErrorMessage="1" errorTitle="Select a QA status" error="Choose a status from the dropdown list." promptTitle="Execution status" prompt="Update this field while testing." sqref="G6:G19" xr:uid="{00000000-0002-0000-0600-000002000000}">
      <formula1>"Not Started,In Progress,Pass,Fail,Blocked,N/A"</formula1>
    </dataValidation>
  </dataValidations>
  <hyperlinks>
    <hyperlink ref="K1" location="#'QA Summary'!A1" display="← QA Summary" xr:uid="{00000000-0004-0000-0600-000000000000}"/>
    <hyperlink ref="K6" r:id="rId1" xr:uid="{754E75C8-36DE-46C5-B9A0-30B1EB6C26EB}"/>
    <hyperlink ref="K7" r:id="rId2" xr:uid="{AA68DB3F-3A3C-44F5-84D6-025BF4A4E84C}"/>
    <hyperlink ref="K8" r:id="rId3" xr:uid="{2FEE7FF3-916D-4F78-8E1F-DE33323870C4}"/>
    <hyperlink ref="K9" r:id="rId4" xr:uid="{4A505F68-294B-4497-AEC3-651DA5C0223B}"/>
  </hyperlinks>
  <printOptions horizontalCentered="1"/>
  <pageMargins left="0.25" right="0.25" top="0.35" bottom="0.35" header="0.15" footer="0.15"/>
  <pageSetup paperSize="9" orientation="landscape" r:id="rId5"/>
  <headerFooter>
    <oddFooter>&amp;LDEV QA - Invoice Lifecycle&amp;RPage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F75B5"/>
    <pageSetUpPr fitToPage="1"/>
  </sheetPr>
  <dimension ref="A1:K16"/>
  <sheetViews>
    <sheetView showGridLines="0" workbookViewId="0">
      <pane xSplit="6" ySplit="5" topLeftCell="G6" activePane="bottomRight" state="frozen"/>
      <selection pane="topRight"/>
      <selection pane="bottomLeft"/>
      <selection pane="bottomRight" sqref="A1:J1"/>
    </sheetView>
  </sheetViews>
  <sheetFormatPr defaultRowHeight="15" x14ac:dyDescent="0.25"/>
  <cols>
    <col min="1" max="1" width="13" customWidth="1"/>
    <col min="3" max="3" width="29" customWidth="1"/>
    <col min="4" max="4" width="33" customWidth="1"/>
    <col min="5" max="6" width="54" customWidth="1"/>
    <col min="7" max="7" width="15" customWidth="1"/>
    <col min="8" max="8" width="18" customWidth="1"/>
    <col min="9" max="9" width="13" customWidth="1"/>
    <col min="10" max="10" width="29" customWidth="1"/>
    <col min="11" max="11" width="32" customWidth="1"/>
  </cols>
  <sheetData>
    <row r="1" spans="1:11" ht="27.95" customHeight="1" x14ac:dyDescent="0.25">
      <c r="A1" s="22" t="s">
        <v>355</v>
      </c>
      <c r="B1" s="22"/>
      <c r="C1" s="22"/>
      <c r="D1" s="22"/>
      <c r="E1" s="22"/>
      <c r="F1" s="22"/>
      <c r="G1" s="22"/>
      <c r="H1" s="22"/>
      <c r="I1" s="22"/>
      <c r="J1" s="22"/>
      <c r="K1" s="13" t="s">
        <v>35</v>
      </c>
    </row>
    <row r="2" spans="1:11" ht="32.1" customHeight="1" x14ac:dyDescent="0.25">
      <c r="A2" s="21" t="s">
        <v>356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26.1" customHeight="1" x14ac:dyDescent="0.25">
      <c r="A3" s="1" t="s">
        <v>10</v>
      </c>
      <c r="B3" s="2">
        <f>COUNTA(A6:A16)</f>
        <v>11</v>
      </c>
      <c r="C3" s="1" t="s">
        <v>3</v>
      </c>
      <c r="D3" s="2">
        <f>COUNTIF(G6:G16,"Pass")</f>
        <v>0</v>
      </c>
      <c r="E3" s="1" t="s">
        <v>4</v>
      </c>
      <c r="F3" s="2">
        <f>COUNTIF(G6:G16,"Fail")</f>
        <v>0</v>
      </c>
      <c r="G3" s="1" t="s">
        <v>5</v>
      </c>
      <c r="H3" s="2">
        <f>COUNTIF(G6:G16,"Blocked")</f>
        <v>0</v>
      </c>
      <c r="I3" s="1" t="s">
        <v>37</v>
      </c>
      <c r="J3" s="3">
        <f>IF(B3=0,0,(COUNTIF(G6:G16,"Pass")+COUNTIF(G6:G16,"Fail")+COUNTIF(G6:G16,"Blocked")+COUNTIF(G6:G16,"N/A"))/B3)</f>
        <v>0</v>
      </c>
      <c r="K3" s="14" t="s">
        <v>38</v>
      </c>
    </row>
    <row r="4" spans="1:11" ht="8.1" customHeight="1" x14ac:dyDescent="0.25"/>
    <row r="5" spans="1:11" ht="32.1" customHeight="1" x14ac:dyDescent="0.25">
      <c r="A5" s="4" t="s">
        <v>39</v>
      </c>
      <c r="B5" s="4" t="s">
        <v>40</v>
      </c>
      <c r="C5" s="4" t="s">
        <v>41</v>
      </c>
      <c r="D5" s="4" t="s">
        <v>42</v>
      </c>
      <c r="E5" s="4" t="s">
        <v>43</v>
      </c>
      <c r="F5" s="4" t="s">
        <v>44</v>
      </c>
      <c r="G5" s="4" t="s">
        <v>45</v>
      </c>
      <c r="H5" s="4" t="s">
        <v>46</v>
      </c>
      <c r="I5" s="4" t="s">
        <v>47</v>
      </c>
      <c r="J5" s="4" t="s">
        <v>48</v>
      </c>
      <c r="K5" s="4" t="s">
        <v>18</v>
      </c>
    </row>
    <row r="6" spans="1:11" ht="44.1" customHeight="1" x14ac:dyDescent="0.25">
      <c r="A6" s="15" t="s">
        <v>357</v>
      </c>
      <c r="B6" s="15" t="s">
        <v>50</v>
      </c>
      <c r="C6" s="16" t="s">
        <v>358</v>
      </c>
      <c r="D6" s="16" t="s">
        <v>359</v>
      </c>
      <c r="E6" s="16" t="s">
        <v>360</v>
      </c>
      <c r="F6" s="16" t="s">
        <v>361</v>
      </c>
      <c r="G6" s="15" t="s">
        <v>14</v>
      </c>
      <c r="H6" s="16" t="s">
        <v>20</v>
      </c>
      <c r="I6" s="17"/>
      <c r="J6" s="16" t="s">
        <v>20</v>
      </c>
      <c r="K6" s="16" t="s">
        <v>20</v>
      </c>
    </row>
    <row r="7" spans="1:11" ht="44.1" customHeight="1" x14ac:dyDescent="0.25">
      <c r="A7" s="15" t="s">
        <v>362</v>
      </c>
      <c r="B7" s="15" t="s">
        <v>76</v>
      </c>
      <c r="C7" s="16" t="s">
        <v>363</v>
      </c>
      <c r="D7" s="16" t="s">
        <v>364</v>
      </c>
      <c r="E7" s="16" t="s">
        <v>365</v>
      </c>
      <c r="F7" s="16" t="s">
        <v>366</v>
      </c>
      <c r="G7" s="15" t="s">
        <v>14</v>
      </c>
      <c r="H7" s="16" t="s">
        <v>20</v>
      </c>
      <c r="I7" s="17"/>
      <c r="J7" s="16" t="s">
        <v>20</v>
      </c>
      <c r="K7" s="16" t="s">
        <v>20</v>
      </c>
    </row>
    <row r="8" spans="1:11" ht="44.1" customHeight="1" x14ac:dyDescent="0.25">
      <c r="A8" s="15" t="s">
        <v>367</v>
      </c>
      <c r="B8" s="15" t="s">
        <v>50</v>
      </c>
      <c r="C8" s="16" t="s">
        <v>368</v>
      </c>
      <c r="D8" s="16" t="s">
        <v>369</v>
      </c>
      <c r="E8" s="16" t="s">
        <v>370</v>
      </c>
      <c r="F8" s="16" t="s">
        <v>371</v>
      </c>
      <c r="G8" s="15" t="s">
        <v>14</v>
      </c>
      <c r="H8" s="16" t="s">
        <v>20</v>
      </c>
      <c r="I8" s="17"/>
      <c r="J8" s="16" t="s">
        <v>20</v>
      </c>
      <c r="K8" s="16" t="s">
        <v>20</v>
      </c>
    </row>
    <row r="9" spans="1:11" ht="44.1" customHeight="1" x14ac:dyDescent="0.25">
      <c r="A9" s="15" t="s">
        <v>372</v>
      </c>
      <c r="B9" s="15" t="s">
        <v>50</v>
      </c>
      <c r="C9" s="16" t="s">
        <v>373</v>
      </c>
      <c r="D9" s="16" t="s">
        <v>374</v>
      </c>
      <c r="E9" s="16" t="s">
        <v>375</v>
      </c>
      <c r="F9" s="16" t="s">
        <v>376</v>
      </c>
      <c r="G9" s="15" t="s">
        <v>14</v>
      </c>
      <c r="H9" s="16" t="s">
        <v>20</v>
      </c>
      <c r="I9" s="17"/>
      <c r="J9" s="16" t="s">
        <v>20</v>
      </c>
      <c r="K9" s="16" t="s">
        <v>20</v>
      </c>
    </row>
    <row r="10" spans="1:11" ht="44.1" customHeight="1" x14ac:dyDescent="0.25">
      <c r="A10" s="15" t="s">
        <v>377</v>
      </c>
      <c r="B10" s="15" t="s">
        <v>50</v>
      </c>
      <c r="C10" s="16" t="s">
        <v>378</v>
      </c>
      <c r="D10" s="16" t="s">
        <v>379</v>
      </c>
      <c r="E10" s="16" t="s">
        <v>380</v>
      </c>
      <c r="F10" s="16" t="s">
        <v>381</v>
      </c>
      <c r="G10" s="15" t="s">
        <v>14</v>
      </c>
      <c r="H10" s="16" t="s">
        <v>20</v>
      </c>
      <c r="I10" s="17"/>
      <c r="J10" s="16" t="s">
        <v>20</v>
      </c>
      <c r="K10" s="16" t="s">
        <v>20</v>
      </c>
    </row>
    <row r="11" spans="1:11" ht="44.1" customHeight="1" x14ac:dyDescent="0.25">
      <c r="A11" s="15" t="s">
        <v>382</v>
      </c>
      <c r="B11" s="15" t="s">
        <v>50</v>
      </c>
      <c r="C11" s="16" t="s">
        <v>383</v>
      </c>
      <c r="D11" s="16" t="s">
        <v>384</v>
      </c>
      <c r="E11" s="16" t="s">
        <v>385</v>
      </c>
      <c r="F11" s="16" t="s">
        <v>386</v>
      </c>
      <c r="G11" s="15" t="s">
        <v>14</v>
      </c>
      <c r="H11" s="16" t="s">
        <v>20</v>
      </c>
      <c r="I11" s="17"/>
      <c r="J11" s="16" t="s">
        <v>20</v>
      </c>
      <c r="K11" s="16" t="s">
        <v>20</v>
      </c>
    </row>
    <row r="12" spans="1:11" ht="44.1" customHeight="1" x14ac:dyDescent="0.25">
      <c r="A12" s="15" t="s">
        <v>387</v>
      </c>
      <c r="B12" s="15" t="s">
        <v>50</v>
      </c>
      <c r="C12" s="16" t="s">
        <v>388</v>
      </c>
      <c r="D12" s="16" t="s">
        <v>389</v>
      </c>
      <c r="E12" s="16" t="s">
        <v>390</v>
      </c>
      <c r="F12" s="16" t="s">
        <v>391</v>
      </c>
      <c r="G12" s="15" t="s">
        <v>14</v>
      </c>
      <c r="H12" s="16" t="s">
        <v>20</v>
      </c>
      <c r="I12" s="17"/>
      <c r="J12" s="16" t="s">
        <v>20</v>
      </c>
      <c r="K12" s="16" t="s">
        <v>20</v>
      </c>
    </row>
    <row r="13" spans="1:11" ht="44.1" customHeight="1" x14ac:dyDescent="0.25">
      <c r="A13" s="15" t="s">
        <v>392</v>
      </c>
      <c r="B13" s="15" t="s">
        <v>76</v>
      </c>
      <c r="C13" s="16" t="s">
        <v>393</v>
      </c>
      <c r="D13" s="16" t="s">
        <v>394</v>
      </c>
      <c r="E13" s="16" t="s">
        <v>395</v>
      </c>
      <c r="F13" s="16" t="s">
        <v>396</v>
      </c>
      <c r="G13" s="15" t="s">
        <v>14</v>
      </c>
      <c r="H13" s="16" t="s">
        <v>20</v>
      </c>
      <c r="I13" s="17"/>
      <c r="J13" s="16" t="s">
        <v>20</v>
      </c>
      <c r="K13" s="16" t="s">
        <v>20</v>
      </c>
    </row>
    <row r="14" spans="1:11" ht="44.1" customHeight="1" x14ac:dyDescent="0.25">
      <c r="A14" s="15" t="s">
        <v>397</v>
      </c>
      <c r="B14" s="15" t="s">
        <v>50</v>
      </c>
      <c r="C14" s="16" t="s">
        <v>398</v>
      </c>
      <c r="D14" s="16" t="s">
        <v>394</v>
      </c>
      <c r="E14" s="16" t="s">
        <v>399</v>
      </c>
      <c r="F14" s="16" t="s">
        <v>400</v>
      </c>
      <c r="G14" s="15" t="s">
        <v>14</v>
      </c>
      <c r="H14" s="16" t="s">
        <v>20</v>
      </c>
      <c r="I14" s="17"/>
      <c r="J14" s="16" t="s">
        <v>20</v>
      </c>
      <c r="K14" s="16" t="s">
        <v>20</v>
      </c>
    </row>
    <row r="15" spans="1:11" ht="44.1" customHeight="1" x14ac:dyDescent="0.25">
      <c r="A15" s="15" t="s">
        <v>401</v>
      </c>
      <c r="B15" s="15" t="s">
        <v>50</v>
      </c>
      <c r="C15" s="16" t="s">
        <v>402</v>
      </c>
      <c r="D15" s="16" t="s">
        <v>403</v>
      </c>
      <c r="E15" s="16" t="s">
        <v>404</v>
      </c>
      <c r="F15" s="16" t="s">
        <v>405</v>
      </c>
      <c r="G15" s="15" t="s">
        <v>14</v>
      </c>
      <c r="H15" s="16" t="s">
        <v>20</v>
      </c>
      <c r="I15" s="17"/>
      <c r="J15" s="16" t="s">
        <v>20</v>
      </c>
      <c r="K15" s="16" t="s">
        <v>20</v>
      </c>
    </row>
    <row r="16" spans="1:11" ht="44.1" customHeight="1" x14ac:dyDescent="0.25">
      <c r="A16" s="15" t="s">
        <v>406</v>
      </c>
      <c r="B16" s="15" t="s">
        <v>50</v>
      </c>
      <c r="C16" s="16" t="s">
        <v>407</v>
      </c>
      <c r="D16" s="16" t="s">
        <v>408</v>
      </c>
      <c r="E16" s="16" t="s">
        <v>409</v>
      </c>
      <c r="F16" s="16" t="s">
        <v>410</v>
      </c>
      <c r="G16" s="15" t="s">
        <v>14</v>
      </c>
      <c r="H16" s="16" t="s">
        <v>20</v>
      </c>
      <c r="I16" s="17"/>
      <c r="J16" s="16" t="s">
        <v>20</v>
      </c>
      <c r="K16" s="16" t="s">
        <v>20</v>
      </c>
    </row>
  </sheetData>
  <autoFilter ref="A5:K16" xr:uid="{00000000-0009-0000-0000-000007000000}"/>
  <mergeCells count="2">
    <mergeCell ref="A1:J1"/>
    <mergeCell ref="A2:K2"/>
  </mergeCells>
  <conditionalFormatting sqref="B6:B16">
    <cfRule type="expression" dxfId="63" priority="6">
      <formula>$B6="P0"</formula>
    </cfRule>
    <cfRule type="expression" dxfId="62" priority="7">
      <formula>$B6="P1"</formula>
    </cfRule>
    <cfRule type="expression" dxfId="61" priority="8">
      <formula>$B6="P2"</formula>
    </cfRule>
  </conditionalFormatting>
  <conditionalFormatting sqref="G6:G16">
    <cfRule type="expression" dxfId="60" priority="1">
      <formula>$G6="Pass"</formula>
    </cfRule>
    <cfRule type="expression" dxfId="59" priority="2">
      <formula>$G6="Fail"</formula>
    </cfRule>
    <cfRule type="expression" dxfId="58" priority="3">
      <formula>$G6="Blocked"</formula>
    </cfRule>
    <cfRule type="expression" dxfId="57" priority="4">
      <formula>$G6="In Progress"</formula>
    </cfRule>
    <cfRule type="expression" dxfId="56" priority="5">
      <formula>$G6="N/A"</formula>
    </cfRule>
  </conditionalFormatting>
  <dataValidations count="2">
    <dataValidation type="list" showErrorMessage="1" errorTitle="Select priority" error="Choose P0, P1, or P2." sqref="B6:B16" xr:uid="{00000000-0002-0000-0700-000000000000}">
      <formula1>"P0,P1,P2"</formula1>
    </dataValidation>
    <dataValidation type="list" showInputMessage="1" showErrorMessage="1" errorTitle="Select a QA status" error="Choose a status from the dropdown list." promptTitle="Execution status" prompt="Update this field while testing." sqref="G6:G16" xr:uid="{00000000-0002-0000-0700-000002000000}">
      <formula1>"Not Started,In Progress,Pass,Fail,Blocked,N/A"</formula1>
    </dataValidation>
  </dataValidations>
  <hyperlinks>
    <hyperlink ref="K1" location="#'QA Summary'!A1" display="← QA Summary" xr:uid="{00000000-0004-0000-0700-000000000000}"/>
  </hyperlinks>
  <printOptions horizontalCentered="1"/>
  <pageMargins left="0.25" right="0.25" top="0.35" bottom="0.35" header="0.15" footer="0.15"/>
  <pageSetup paperSize="9" orientation="landscape"/>
  <headerFooter>
    <oddFooter>&amp;LDEV QA - Gusto Payouts&amp;RPage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8C95"/>
    <pageSetUpPr fitToPage="1"/>
  </sheetPr>
  <dimension ref="A1:K15"/>
  <sheetViews>
    <sheetView showGridLines="0" workbookViewId="0">
      <pane xSplit="6" ySplit="5" topLeftCell="G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3" customWidth="1"/>
    <col min="3" max="3" width="29" customWidth="1"/>
    <col min="4" max="4" width="33" customWidth="1"/>
    <col min="5" max="6" width="54" customWidth="1"/>
    <col min="7" max="7" width="15" customWidth="1"/>
    <col min="8" max="8" width="18" customWidth="1"/>
    <col min="9" max="9" width="13" customWidth="1"/>
    <col min="10" max="10" width="29" customWidth="1"/>
    <col min="11" max="11" width="32" customWidth="1"/>
  </cols>
  <sheetData>
    <row r="1" spans="1:11" ht="27.95" customHeight="1" x14ac:dyDescent="0.25">
      <c r="A1" s="22" t="s">
        <v>411</v>
      </c>
      <c r="B1" s="22"/>
      <c r="C1" s="22"/>
      <c r="D1" s="22"/>
      <c r="E1" s="22"/>
      <c r="F1" s="22"/>
      <c r="G1" s="22"/>
      <c r="H1" s="22"/>
      <c r="I1" s="22"/>
      <c r="J1" s="22"/>
      <c r="K1" s="13" t="s">
        <v>35</v>
      </c>
    </row>
    <row r="2" spans="1:11" ht="32.1" customHeight="1" x14ac:dyDescent="0.25">
      <c r="A2" s="21" t="s">
        <v>412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26.1" customHeight="1" x14ac:dyDescent="0.25">
      <c r="A3" s="1" t="s">
        <v>10</v>
      </c>
      <c r="B3" s="2">
        <f>COUNTA(A6:A15)</f>
        <v>10</v>
      </c>
      <c r="C3" s="1" t="s">
        <v>3</v>
      </c>
      <c r="D3" s="2">
        <f>COUNTIF(G6:G15,"Pass")</f>
        <v>0</v>
      </c>
      <c r="E3" s="1" t="s">
        <v>4</v>
      </c>
      <c r="F3" s="2">
        <f>COUNTIF(G6:G15,"Fail")</f>
        <v>0</v>
      </c>
      <c r="G3" s="1" t="s">
        <v>5</v>
      </c>
      <c r="H3" s="2">
        <f>COUNTIF(G6:G15,"Blocked")</f>
        <v>0</v>
      </c>
      <c r="I3" s="1" t="s">
        <v>37</v>
      </c>
      <c r="J3" s="3">
        <f>IF(B3=0,0,(COUNTIF(G6:G15,"Pass")+COUNTIF(G6:G15,"Fail")+COUNTIF(G6:G15,"Blocked")+COUNTIF(G6:G15,"N/A"))/B3)</f>
        <v>0</v>
      </c>
      <c r="K3" s="14" t="s">
        <v>38</v>
      </c>
    </row>
    <row r="4" spans="1:11" ht="8.1" customHeight="1" x14ac:dyDescent="0.25"/>
    <row r="5" spans="1:11" ht="32.1" customHeight="1" x14ac:dyDescent="0.25">
      <c r="A5" s="4" t="s">
        <v>39</v>
      </c>
      <c r="B5" s="4" t="s">
        <v>40</v>
      </c>
      <c r="C5" s="4" t="s">
        <v>41</v>
      </c>
      <c r="D5" s="4" t="s">
        <v>42</v>
      </c>
      <c r="E5" s="4" t="s">
        <v>43</v>
      </c>
      <c r="F5" s="4" t="s">
        <v>44</v>
      </c>
      <c r="G5" s="4" t="s">
        <v>45</v>
      </c>
      <c r="H5" s="4" t="s">
        <v>46</v>
      </c>
      <c r="I5" s="4" t="s">
        <v>47</v>
      </c>
      <c r="J5" s="4" t="s">
        <v>48</v>
      </c>
      <c r="K5" s="4" t="s">
        <v>18</v>
      </c>
    </row>
    <row r="6" spans="1:11" ht="44.1" customHeight="1" x14ac:dyDescent="0.25">
      <c r="A6" s="15" t="s">
        <v>413</v>
      </c>
      <c r="B6" s="15" t="s">
        <v>76</v>
      </c>
      <c r="C6" s="16" t="s">
        <v>414</v>
      </c>
      <c r="D6" s="16" t="s">
        <v>415</v>
      </c>
      <c r="E6" s="16" t="s">
        <v>416</v>
      </c>
      <c r="F6" s="16" t="s">
        <v>417</v>
      </c>
      <c r="G6" s="15" t="s">
        <v>14</v>
      </c>
      <c r="H6" s="16" t="s">
        <v>20</v>
      </c>
      <c r="I6" s="17"/>
      <c r="J6" s="16" t="s">
        <v>20</v>
      </c>
      <c r="K6" s="16" t="s">
        <v>20</v>
      </c>
    </row>
    <row r="7" spans="1:11" ht="44.1" customHeight="1" x14ac:dyDescent="0.25">
      <c r="A7" s="15" t="s">
        <v>418</v>
      </c>
      <c r="B7" s="15" t="s">
        <v>50</v>
      </c>
      <c r="C7" s="16" t="s">
        <v>419</v>
      </c>
      <c r="D7" s="16" t="s">
        <v>420</v>
      </c>
      <c r="E7" s="16" t="s">
        <v>421</v>
      </c>
      <c r="F7" s="16" t="s">
        <v>422</v>
      </c>
      <c r="G7" s="15" t="s">
        <v>14</v>
      </c>
      <c r="H7" s="16" t="s">
        <v>20</v>
      </c>
      <c r="I7" s="17"/>
      <c r="J7" s="16" t="s">
        <v>20</v>
      </c>
      <c r="K7" s="16" t="s">
        <v>20</v>
      </c>
    </row>
    <row r="8" spans="1:11" ht="44.1" customHeight="1" x14ac:dyDescent="0.25">
      <c r="A8" s="15" t="s">
        <v>423</v>
      </c>
      <c r="B8" s="15" t="s">
        <v>50</v>
      </c>
      <c r="C8" s="16" t="s">
        <v>424</v>
      </c>
      <c r="D8" s="16" t="s">
        <v>425</v>
      </c>
      <c r="E8" s="16" t="s">
        <v>426</v>
      </c>
      <c r="F8" s="16" t="s">
        <v>427</v>
      </c>
      <c r="G8" s="15" t="s">
        <v>14</v>
      </c>
      <c r="H8" s="16" t="s">
        <v>20</v>
      </c>
      <c r="I8" s="17"/>
      <c r="J8" s="16" t="s">
        <v>20</v>
      </c>
      <c r="K8" s="16" t="s">
        <v>20</v>
      </c>
    </row>
    <row r="9" spans="1:11" ht="44.1" customHeight="1" x14ac:dyDescent="0.25">
      <c r="A9" s="15" t="s">
        <v>428</v>
      </c>
      <c r="B9" s="15" t="s">
        <v>50</v>
      </c>
      <c r="C9" s="16" t="s">
        <v>429</v>
      </c>
      <c r="D9" s="16" t="s">
        <v>430</v>
      </c>
      <c r="E9" s="16" t="s">
        <v>431</v>
      </c>
      <c r="F9" s="16" t="s">
        <v>432</v>
      </c>
      <c r="G9" s="15" t="s">
        <v>14</v>
      </c>
      <c r="H9" s="16" t="s">
        <v>20</v>
      </c>
      <c r="I9" s="17"/>
      <c r="J9" s="16" t="s">
        <v>20</v>
      </c>
      <c r="K9" s="16" t="s">
        <v>20</v>
      </c>
    </row>
    <row r="10" spans="1:11" ht="44.1" customHeight="1" x14ac:dyDescent="0.25">
      <c r="A10" s="15" t="s">
        <v>433</v>
      </c>
      <c r="B10" s="15" t="s">
        <v>50</v>
      </c>
      <c r="C10" s="16" t="s">
        <v>434</v>
      </c>
      <c r="D10" s="16" t="s">
        <v>435</v>
      </c>
      <c r="E10" s="16" t="s">
        <v>436</v>
      </c>
      <c r="F10" s="16" t="s">
        <v>437</v>
      </c>
      <c r="G10" s="15" t="s">
        <v>14</v>
      </c>
      <c r="H10" s="16" t="s">
        <v>20</v>
      </c>
      <c r="I10" s="17"/>
      <c r="J10" s="16" t="s">
        <v>20</v>
      </c>
      <c r="K10" s="16" t="s">
        <v>20</v>
      </c>
    </row>
    <row r="11" spans="1:11" ht="44.1" customHeight="1" x14ac:dyDescent="0.25">
      <c r="A11" s="15" t="s">
        <v>438</v>
      </c>
      <c r="B11" s="15" t="s">
        <v>50</v>
      </c>
      <c r="C11" s="16" t="s">
        <v>439</v>
      </c>
      <c r="D11" s="16" t="s">
        <v>440</v>
      </c>
      <c r="E11" s="16" t="s">
        <v>441</v>
      </c>
      <c r="F11" s="16" t="s">
        <v>442</v>
      </c>
      <c r="G11" s="15" t="s">
        <v>14</v>
      </c>
      <c r="H11" s="16" t="s">
        <v>20</v>
      </c>
      <c r="I11" s="17"/>
      <c r="J11" s="16" t="s">
        <v>20</v>
      </c>
      <c r="K11" s="16" t="s">
        <v>20</v>
      </c>
    </row>
    <row r="12" spans="1:11" ht="44.1" customHeight="1" x14ac:dyDescent="0.25">
      <c r="A12" s="15" t="s">
        <v>443</v>
      </c>
      <c r="B12" s="15" t="s">
        <v>50</v>
      </c>
      <c r="C12" s="16" t="s">
        <v>444</v>
      </c>
      <c r="D12" s="16" t="s">
        <v>445</v>
      </c>
      <c r="E12" s="16" t="s">
        <v>446</v>
      </c>
      <c r="F12" s="16" t="s">
        <v>447</v>
      </c>
      <c r="G12" s="15" t="s">
        <v>14</v>
      </c>
      <c r="H12" s="16" t="s">
        <v>20</v>
      </c>
      <c r="I12" s="17"/>
      <c r="J12" s="16" t="s">
        <v>20</v>
      </c>
      <c r="K12" s="16" t="s">
        <v>20</v>
      </c>
    </row>
    <row r="13" spans="1:11" ht="44.1" customHeight="1" x14ac:dyDescent="0.25">
      <c r="A13" s="15" t="s">
        <v>448</v>
      </c>
      <c r="B13" s="15" t="s">
        <v>50</v>
      </c>
      <c r="C13" s="16" t="s">
        <v>449</v>
      </c>
      <c r="D13" s="16" t="s">
        <v>450</v>
      </c>
      <c r="E13" s="16" t="s">
        <v>451</v>
      </c>
      <c r="F13" s="16" t="s">
        <v>452</v>
      </c>
      <c r="G13" s="15" t="s">
        <v>14</v>
      </c>
      <c r="H13" s="16" t="s">
        <v>20</v>
      </c>
      <c r="I13" s="17"/>
      <c r="J13" s="16" t="s">
        <v>20</v>
      </c>
      <c r="K13" s="16" t="s">
        <v>20</v>
      </c>
    </row>
    <row r="14" spans="1:11" ht="44.1" customHeight="1" x14ac:dyDescent="0.25">
      <c r="A14" s="15" t="s">
        <v>453</v>
      </c>
      <c r="B14" s="15" t="s">
        <v>50</v>
      </c>
      <c r="C14" s="16" t="s">
        <v>454</v>
      </c>
      <c r="D14" s="16" t="s">
        <v>455</v>
      </c>
      <c r="E14" s="16" t="s">
        <v>456</v>
      </c>
      <c r="F14" s="16" t="s">
        <v>457</v>
      </c>
      <c r="G14" s="15" t="s">
        <v>14</v>
      </c>
      <c r="H14" s="16" t="s">
        <v>20</v>
      </c>
      <c r="I14" s="17"/>
      <c r="J14" s="16" t="s">
        <v>20</v>
      </c>
      <c r="K14" s="16" t="s">
        <v>20</v>
      </c>
    </row>
    <row r="15" spans="1:11" ht="44.1" customHeight="1" x14ac:dyDescent="0.25">
      <c r="A15" s="15" t="s">
        <v>458</v>
      </c>
      <c r="B15" s="15" t="s">
        <v>76</v>
      </c>
      <c r="C15" s="16" t="s">
        <v>459</v>
      </c>
      <c r="D15" s="16" t="s">
        <v>460</v>
      </c>
      <c r="E15" s="16" t="s">
        <v>461</v>
      </c>
      <c r="F15" s="16" t="s">
        <v>462</v>
      </c>
      <c r="G15" s="15" t="s">
        <v>14</v>
      </c>
      <c r="H15" s="16" t="s">
        <v>20</v>
      </c>
      <c r="I15" s="17"/>
      <c r="J15" s="16" t="s">
        <v>20</v>
      </c>
      <c r="K15" s="16" t="s">
        <v>20</v>
      </c>
    </row>
  </sheetData>
  <autoFilter ref="A5:K15" xr:uid="{00000000-0009-0000-0000-000008000000}"/>
  <mergeCells count="2">
    <mergeCell ref="A1:J1"/>
    <mergeCell ref="A2:K2"/>
  </mergeCells>
  <conditionalFormatting sqref="B6:B15">
    <cfRule type="expression" dxfId="55" priority="6">
      <formula>$B6="P0"</formula>
    </cfRule>
    <cfRule type="expression" dxfId="54" priority="7">
      <formula>$B6="P1"</formula>
    </cfRule>
    <cfRule type="expression" dxfId="53" priority="8">
      <formula>$B6="P2"</formula>
    </cfRule>
  </conditionalFormatting>
  <conditionalFormatting sqref="G6:G15">
    <cfRule type="expression" dxfId="52" priority="1">
      <formula>$G6="Pass"</formula>
    </cfRule>
    <cfRule type="expression" dxfId="51" priority="2">
      <formula>$G6="Fail"</formula>
    </cfRule>
    <cfRule type="expression" dxfId="50" priority="3">
      <formula>$G6="Blocked"</formula>
    </cfRule>
    <cfRule type="expression" dxfId="49" priority="4">
      <formula>$G6="In Progress"</formula>
    </cfRule>
    <cfRule type="expression" dxfId="48" priority="5">
      <formula>$G6="N/A"</formula>
    </cfRule>
  </conditionalFormatting>
  <dataValidations count="2">
    <dataValidation type="list" showErrorMessage="1" errorTitle="Select priority" error="Choose P0, P1, or P2." sqref="B6:B15" xr:uid="{00000000-0002-0000-0800-000000000000}">
      <formula1>"P0,P1,P2"</formula1>
    </dataValidation>
    <dataValidation type="list" showInputMessage="1" showErrorMessage="1" errorTitle="Select a QA status" error="Choose a status from the dropdown list." promptTitle="Execution status" prompt="Update this field while testing." sqref="G6:G15" xr:uid="{00000000-0002-0000-0800-000002000000}">
      <formula1>"Not Started,In Progress,Pass,Fail,Blocked,N/A"</formula1>
    </dataValidation>
  </dataValidations>
  <hyperlinks>
    <hyperlink ref="K1" location="#'QA Summary'!A1" display="← QA Summary" xr:uid="{00000000-0004-0000-0800-000000000000}"/>
  </hyperlinks>
  <printOptions horizontalCentered="1"/>
  <pageMargins left="0.25" right="0.25" top="0.35" bottom="0.35" header="0.15" footer="0.15"/>
  <pageSetup paperSize="9" orientation="landscape"/>
  <headerFooter>
    <oddFooter>&amp;LDEV QA - Scheduler Regression&amp;RPage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F75B5"/>
    <pageSetUpPr fitToPage="1"/>
  </sheetPr>
  <dimension ref="A1:K10"/>
  <sheetViews>
    <sheetView showGridLines="0" workbookViewId="0">
      <pane xSplit="6" ySplit="5" topLeftCell="G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3" customWidth="1"/>
    <col min="3" max="3" width="29" customWidth="1"/>
    <col min="4" max="4" width="33" customWidth="1"/>
    <col min="5" max="6" width="54" customWidth="1"/>
    <col min="7" max="7" width="15" customWidth="1"/>
    <col min="8" max="8" width="18" customWidth="1"/>
    <col min="9" max="9" width="13" customWidth="1"/>
    <col min="10" max="10" width="29" customWidth="1"/>
    <col min="11" max="11" width="32" customWidth="1"/>
  </cols>
  <sheetData>
    <row r="1" spans="1:11" ht="27.95" customHeight="1" x14ac:dyDescent="0.25">
      <c r="A1" s="22" t="s">
        <v>463</v>
      </c>
      <c r="B1" s="22"/>
      <c r="C1" s="22"/>
      <c r="D1" s="22"/>
      <c r="E1" s="22"/>
      <c r="F1" s="22"/>
      <c r="G1" s="22"/>
      <c r="H1" s="22"/>
      <c r="I1" s="22"/>
      <c r="J1" s="22"/>
      <c r="K1" s="13" t="s">
        <v>35</v>
      </c>
    </row>
    <row r="2" spans="1:11" ht="32.1" customHeight="1" x14ac:dyDescent="0.25">
      <c r="A2" s="21" t="s">
        <v>464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26.1" customHeight="1" x14ac:dyDescent="0.25">
      <c r="A3" s="1" t="s">
        <v>10</v>
      </c>
      <c r="B3" s="2">
        <f>COUNTA(A6:A10)</f>
        <v>5</v>
      </c>
      <c r="C3" s="1" t="s">
        <v>3</v>
      </c>
      <c r="D3" s="2">
        <f>COUNTIF(G6:G10,"Pass")</f>
        <v>0</v>
      </c>
      <c r="E3" s="1" t="s">
        <v>4</v>
      </c>
      <c r="F3" s="2">
        <f>COUNTIF(G6:G10,"Fail")</f>
        <v>0</v>
      </c>
      <c r="G3" s="1" t="s">
        <v>5</v>
      </c>
      <c r="H3" s="2">
        <f>COUNTIF(G6:G10,"Blocked")</f>
        <v>0</v>
      </c>
      <c r="I3" s="1" t="s">
        <v>37</v>
      </c>
      <c r="J3" s="3">
        <f>IF(B3=0,0,(COUNTIF(G6:G10,"Pass")+COUNTIF(G6:G10,"Fail")+COUNTIF(G6:G10,"Blocked")+COUNTIF(G6:G10,"N/A"))/B3)</f>
        <v>0</v>
      </c>
      <c r="K3" s="14" t="s">
        <v>38</v>
      </c>
    </row>
    <row r="4" spans="1:11" ht="8.1" customHeight="1" x14ac:dyDescent="0.25"/>
    <row r="5" spans="1:11" ht="32.1" customHeight="1" x14ac:dyDescent="0.25">
      <c r="A5" s="4" t="s">
        <v>39</v>
      </c>
      <c r="B5" s="4" t="s">
        <v>40</v>
      </c>
      <c r="C5" s="4" t="s">
        <v>41</v>
      </c>
      <c r="D5" s="4" t="s">
        <v>42</v>
      </c>
      <c r="E5" s="4" t="s">
        <v>43</v>
      </c>
      <c r="F5" s="4" t="s">
        <v>44</v>
      </c>
      <c r="G5" s="4" t="s">
        <v>45</v>
      </c>
      <c r="H5" s="4" t="s">
        <v>46</v>
      </c>
      <c r="I5" s="4" t="s">
        <v>47</v>
      </c>
      <c r="J5" s="4" t="s">
        <v>48</v>
      </c>
      <c r="K5" s="4" t="s">
        <v>18</v>
      </c>
    </row>
    <row r="6" spans="1:11" ht="44.1" customHeight="1" x14ac:dyDescent="0.25">
      <c r="A6" s="15" t="s">
        <v>465</v>
      </c>
      <c r="B6" s="15" t="s">
        <v>50</v>
      </c>
      <c r="C6" s="16" t="s">
        <v>466</v>
      </c>
      <c r="D6" s="16" t="s">
        <v>467</v>
      </c>
      <c r="E6" s="16" t="s">
        <v>468</v>
      </c>
      <c r="F6" s="16" t="s">
        <v>469</v>
      </c>
      <c r="G6" s="15" t="s">
        <v>14</v>
      </c>
      <c r="H6" s="16" t="s">
        <v>20</v>
      </c>
      <c r="I6" s="17"/>
      <c r="J6" s="16" t="s">
        <v>20</v>
      </c>
      <c r="K6" s="16" t="s">
        <v>20</v>
      </c>
    </row>
    <row r="7" spans="1:11" ht="44.1" customHeight="1" x14ac:dyDescent="0.25">
      <c r="A7" s="15" t="s">
        <v>470</v>
      </c>
      <c r="B7" s="15" t="s">
        <v>50</v>
      </c>
      <c r="C7" s="16" t="s">
        <v>471</v>
      </c>
      <c r="D7" s="16" t="s">
        <v>472</v>
      </c>
      <c r="E7" s="16" t="s">
        <v>473</v>
      </c>
      <c r="F7" s="16" t="s">
        <v>474</v>
      </c>
      <c r="G7" s="15" t="s">
        <v>14</v>
      </c>
      <c r="H7" s="16" t="s">
        <v>20</v>
      </c>
      <c r="I7" s="17"/>
      <c r="J7" s="16" t="s">
        <v>20</v>
      </c>
      <c r="K7" s="16" t="s">
        <v>20</v>
      </c>
    </row>
    <row r="8" spans="1:11" ht="44.1" customHeight="1" x14ac:dyDescent="0.25">
      <c r="A8" s="15" t="s">
        <v>475</v>
      </c>
      <c r="B8" s="15" t="s">
        <v>50</v>
      </c>
      <c r="C8" s="16" t="s">
        <v>476</v>
      </c>
      <c r="D8" s="16" t="s">
        <v>477</v>
      </c>
      <c r="E8" s="16" t="s">
        <v>478</v>
      </c>
      <c r="F8" s="16" t="s">
        <v>479</v>
      </c>
      <c r="G8" s="15" t="s">
        <v>14</v>
      </c>
      <c r="H8" s="16" t="s">
        <v>20</v>
      </c>
      <c r="I8" s="17"/>
      <c r="J8" s="16" t="s">
        <v>20</v>
      </c>
      <c r="K8" s="16" t="s">
        <v>20</v>
      </c>
    </row>
    <row r="9" spans="1:11" ht="44.1" customHeight="1" x14ac:dyDescent="0.25">
      <c r="A9" s="15" t="s">
        <v>480</v>
      </c>
      <c r="B9" s="15" t="s">
        <v>76</v>
      </c>
      <c r="C9" s="16" t="s">
        <v>481</v>
      </c>
      <c r="D9" s="16" t="s">
        <v>482</v>
      </c>
      <c r="E9" s="16" t="s">
        <v>483</v>
      </c>
      <c r="F9" s="16" t="s">
        <v>484</v>
      </c>
      <c r="G9" s="15" t="s">
        <v>14</v>
      </c>
      <c r="H9" s="16" t="s">
        <v>20</v>
      </c>
      <c r="I9" s="17"/>
      <c r="J9" s="16" t="s">
        <v>20</v>
      </c>
      <c r="K9" s="16" t="s">
        <v>20</v>
      </c>
    </row>
    <row r="10" spans="1:11" ht="44.1" customHeight="1" x14ac:dyDescent="0.25">
      <c r="A10" s="15" t="s">
        <v>485</v>
      </c>
      <c r="B10" s="15" t="s">
        <v>76</v>
      </c>
      <c r="C10" s="16" t="s">
        <v>486</v>
      </c>
      <c r="D10" s="16" t="s">
        <v>487</v>
      </c>
      <c r="E10" s="16" t="s">
        <v>488</v>
      </c>
      <c r="F10" s="16" t="s">
        <v>489</v>
      </c>
      <c r="G10" s="15" t="s">
        <v>14</v>
      </c>
      <c r="H10" s="16" t="s">
        <v>20</v>
      </c>
      <c r="I10" s="17"/>
      <c r="J10" s="16" t="s">
        <v>20</v>
      </c>
      <c r="K10" s="16" t="s">
        <v>20</v>
      </c>
    </row>
  </sheetData>
  <autoFilter ref="A5:K10" xr:uid="{00000000-0009-0000-0000-000009000000}"/>
  <mergeCells count="2">
    <mergeCell ref="A1:J1"/>
    <mergeCell ref="A2:K2"/>
  </mergeCells>
  <conditionalFormatting sqref="B6:B10">
    <cfRule type="expression" dxfId="47" priority="6">
      <formula>$B6="P0"</formula>
    </cfRule>
    <cfRule type="expression" dxfId="46" priority="7">
      <formula>$B6="P1"</formula>
    </cfRule>
    <cfRule type="expression" dxfId="45" priority="8">
      <formula>$B6="P2"</formula>
    </cfRule>
  </conditionalFormatting>
  <conditionalFormatting sqref="G6:G10">
    <cfRule type="expression" dxfId="44" priority="1">
      <formula>$G6="Pass"</formula>
    </cfRule>
    <cfRule type="expression" dxfId="43" priority="2">
      <formula>$G6="Fail"</formula>
    </cfRule>
    <cfRule type="expression" dxfId="42" priority="3">
      <formula>$G6="Blocked"</formula>
    </cfRule>
    <cfRule type="expression" dxfId="41" priority="4">
      <formula>$G6="In Progress"</formula>
    </cfRule>
    <cfRule type="expression" dxfId="40" priority="5">
      <formula>$G6="N/A"</formula>
    </cfRule>
  </conditionalFormatting>
  <dataValidations count="2">
    <dataValidation type="list" showErrorMessage="1" errorTitle="Select priority" error="Choose P0, P1, or P2." sqref="B6:B10" xr:uid="{00000000-0002-0000-0900-000000000000}">
      <formula1>"P0,P1,P2"</formula1>
    </dataValidation>
    <dataValidation type="list" showInputMessage="1" showErrorMessage="1" errorTitle="Select a QA status" error="Choose a status from the dropdown list." promptTitle="Execution status" prompt="Update this field while testing." sqref="G6:G10" xr:uid="{00000000-0002-0000-0900-000002000000}">
      <formula1>"Not Started,In Progress,Pass,Fail,Blocked,N/A"</formula1>
    </dataValidation>
  </dataValidations>
  <hyperlinks>
    <hyperlink ref="K1" location="#'QA Summary'!A1" display="← QA Summary" xr:uid="{00000000-0004-0000-0900-000000000000}"/>
  </hyperlinks>
  <printOptions horizontalCentered="1"/>
  <pageMargins left="0.25" right="0.25" top="0.35" bottom="0.35" header="0.15" footer="0.15"/>
  <pageSetup paperSize="9" orientation="landscape"/>
  <headerFooter>
    <oddFooter>&amp;LDEV QA - Employees Owners&amp;RPage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8C95"/>
    <pageSetUpPr fitToPage="1"/>
  </sheetPr>
  <dimension ref="A1:K22"/>
  <sheetViews>
    <sheetView showGridLines="0" workbookViewId="0">
      <pane xSplit="6" ySplit="5" topLeftCell="G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3" customWidth="1"/>
    <col min="3" max="3" width="29" customWidth="1"/>
    <col min="4" max="4" width="33" customWidth="1"/>
    <col min="5" max="6" width="54" customWidth="1"/>
    <col min="7" max="7" width="15" customWidth="1"/>
    <col min="8" max="8" width="18" customWidth="1"/>
    <col min="9" max="9" width="13" customWidth="1"/>
    <col min="10" max="10" width="29" customWidth="1"/>
    <col min="11" max="11" width="32" customWidth="1"/>
  </cols>
  <sheetData>
    <row r="1" spans="1:11" ht="27.95" customHeight="1" x14ac:dyDescent="0.25">
      <c r="A1" s="22" t="s">
        <v>490</v>
      </c>
      <c r="B1" s="22"/>
      <c r="C1" s="22"/>
      <c r="D1" s="22"/>
      <c r="E1" s="22"/>
      <c r="F1" s="22"/>
      <c r="G1" s="22"/>
      <c r="H1" s="22"/>
      <c r="I1" s="22"/>
      <c r="J1" s="22"/>
      <c r="K1" s="13" t="s">
        <v>35</v>
      </c>
    </row>
    <row r="2" spans="1:11" ht="32.1" customHeight="1" x14ac:dyDescent="0.25">
      <c r="A2" s="21" t="s">
        <v>491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26.1" customHeight="1" x14ac:dyDescent="0.25">
      <c r="A3" s="1" t="s">
        <v>10</v>
      </c>
      <c r="B3" s="2">
        <f>COUNTA(A6:A22)</f>
        <v>17</v>
      </c>
      <c r="C3" s="1" t="s">
        <v>3</v>
      </c>
      <c r="D3" s="2">
        <f>COUNTIF(G6:G22,"Pass")</f>
        <v>0</v>
      </c>
      <c r="E3" s="1" t="s">
        <v>4</v>
      </c>
      <c r="F3" s="2">
        <f>COUNTIF(G6:G22,"Fail")</f>
        <v>0</v>
      </c>
      <c r="G3" s="1" t="s">
        <v>5</v>
      </c>
      <c r="H3" s="2">
        <f>COUNTIF(G6:G22,"Blocked")</f>
        <v>0</v>
      </c>
      <c r="I3" s="1" t="s">
        <v>37</v>
      </c>
      <c r="J3" s="3">
        <f>IF(B3=0,0,(COUNTIF(G6:G22,"Pass")+COUNTIF(G6:G22,"Fail")+COUNTIF(G6:G22,"Blocked")+COUNTIF(G6:G22,"N/A"))/B3)</f>
        <v>0</v>
      </c>
      <c r="K3" s="14" t="s">
        <v>38</v>
      </c>
    </row>
    <row r="4" spans="1:11" ht="8.1" customHeight="1" x14ac:dyDescent="0.25"/>
    <row r="5" spans="1:11" ht="32.1" customHeight="1" x14ac:dyDescent="0.25">
      <c r="A5" s="4" t="s">
        <v>39</v>
      </c>
      <c r="B5" s="4" t="s">
        <v>40</v>
      </c>
      <c r="C5" s="4" t="s">
        <v>41</v>
      </c>
      <c r="D5" s="4" t="s">
        <v>42</v>
      </c>
      <c r="E5" s="4" t="s">
        <v>43</v>
      </c>
      <c r="F5" s="4" t="s">
        <v>44</v>
      </c>
      <c r="G5" s="4" t="s">
        <v>45</v>
      </c>
      <c r="H5" s="4" t="s">
        <v>46</v>
      </c>
      <c r="I5" s="4" t="s">
        <v>47</v>
      </c>
      <c r="J5" s="4" t="s">
        <v>48</v>
      </c>
      <c r="K5" s="4" t="s">
        <v>18</v>
      </c>
    </row>
    <row r="6" spans="1:11" ht="44.1" customHeight="1" x14ac:dyDescent="0.25">
      <c r="A6" s="15" t="s">
        <v>492</v>
      </c>
      <c r="B6" s="15" t="s">
        <v>76</v>
      </c>
      <c r="C6" s="16" t="s">
        <v>493</v>
      </c>
      <c r="D6" s="16" t="s">
        <v>494</v>
      </c>
      <c r="E6" s="16" t="s">
        <v>495</v>
      </c>
      <c r="F6" s="16" t="s">
        <v>496</v>
      </c>
      <c r="G6" s="15" t="s">
        <v>14</v>
      </c>
      <c r="H6" s="16" t="s">
        <v>20</v>
      </c>
      <c r="I6" s="17"/>
      <c r="J6" s="16" t="s">
        <v>20</v>
      </c>
      <c r="K6" s="16" t="s">
        <v>20</v>
      </c>
    </row>
    <row r="7" spans="1:11" ht="44.1" customHeight="1" x14ac:dyDescent="0.25">
      <c r="A7" s="15" t="s">
        <v>497</v>
      </c>
      <c r="B7" s="15" t="s">
        <v>50</v>
      </c>
      <c r="C7" s="16" t="s">
        <v>498</v>
      </c>
      <c r="D7" s="16" t="s">
        <v>499</v>
      </c>
      <c r="E7" s="16" t="s">
        <v>500</v>
      </c>
      <c r="F7" s="16" t="s">
        <v>501</v>
      </c>
      <c r="G7" s="15" t="s">
        <v>14</v>
      </c>
      <c r="H7" s="16" t="s">
        <v>20</v>
      </c>
      <c r="I7" s="17"/>
      <c r="J7" s="16" t="s">
        <v>20</v>
      </c>
      <c r="K7" s="16" t="s">
        <v>20</v>
      </c>
    </row>
    <row r="8" spans="1:11" ht="44.1" customHeight="1" x14ac:dyDescent="0.25">
      <c r="A8" s="15" t="s">
        <v>502</v>
      </c>
      <c r="B8" s="15" t="s">
        <v>76</v>
      </c>
      <c r="C8" s="16" t="s">
        <v>503</v>
      </c>
      <c r="D8" s="16" t="s">
        <v>504</v>
      </c>
      <c r="E8" s="16" t="s">
        <v>505</v>
      </c>
      <c r="F8" s="16" t="s">
        <v>506</v>
      </c>
      <c r="G8" s="15" t="s">
        <v>14</v>
      </c>
      <c r="H8" s="16" t="s">
        <v>20</v>
      </c>
      <c r="I8" s="17"/>
      <c r="J8" s="16" t="s">
        <v>20</v>
      </c>
      <c r="K8" s="16" t="s">
        <v>20</v>
      </c>
    </row>
    <row r="9" spans="1:11" ht="44.1" customHeight="1" x14ac:dyDescent="0.25">
      <c r="A9" s="15" t="s">
        <v>507</v>
      </c>
      <c r="B9" s="15" t="s">
        <v>50</v>
      </c>
      <c r="C9" s="16" t="s">
        <v>508</v>
      </c>
      <c r="D9" s="16" t="s">
        <v>509</v>
      </c>
      <c r="E9" s="16" t="s">
        <v>510</v>
      </c>
      <c r="F9" s="16" t="s">
        <v>511</v>
      </c>
      <c r="G9" s="15" t="s">
        <v>14</v>
      </c>
      <c r="H9" s="16" t="s">
        <v>20</v>
      </c>
      <c r="I9" s="17"/>
      <c r="J9" s="16" t="s">
        <v>20</v>
      </c>
      <c r="K9" s="16" t="s">
        <v>20</v>
      </c>
    </row>
    <row r="10" spans="1:11" ht="44.1" customHeight="1" x14ac:dyDescent="0.25">
      <c r="A10" s="15" t="s">
        <v>512</v>
      </c>
      <c r="B10" s="15" t="s">
        <v>50</v>
      </c>
      <c r="C10" s="16" t="s">
        <v>513</v>
      </c>
      <c r="D10" s="16" t="s">
        <v>514</v>
      </c>
      <c r="E10" s="16" t="s">
        <v>515</v>
      </c>
      <c r="F10" s="16" t="s">
        <v>516</v>
      </c>
      <c r="G10" s="15" t="s">
        <v>14</v>
      </c>
      <c r="H10" s="16" t="s">
        <v>20</v>
      </c>
      <c r="I10" s="17"/>
      <c r="J10" s="16" t="s">
        <v>20</v>
      </c>
      <c r="K10" s="16" t="s">
        <v>20</v>
      </c>
    </row>
    <row r="11" spans="1:11" ht="44.1" customHeight="1" x14ac:dyDescent="0.25">
      <c r="A11" s="15" t="s">
        <v>517</v>
      </c>
      <c r="B11" s="15" t="s">
        <v>76</v>
      </c>
      <c r="C11" s="16" t="s">
        <v>518</v>
      </c>
      <c r="D11" s="16" t="s">
        <v>519</v>
      </c>
      <c r="E11" s="16" t="s">
        <v>520</v>
      </c>
      <c r="F11" s="16" t="s">
        <v>521</v>
      </c>
      <c r="G11" s="15" t="s">
        <v>14</v>
      </c>
      <c r="H11" s="16" t="s">
        <v>20</v>
      </c>
      <c r="I11" s="17"/>
      <c r="J11" s="16" t="s">
        <v>20</v>
      </c>
      <c r="K11" s="16" t="s">
        <v>20</v>
      </c>
    </row>
    <row r="12" spans="1:11" ht="44.1" customHeight="1" x14ac:dyDescent="0.25">
      <c r="A12" s="15" t="s">
        <v>522</v>
      </c>
      <c r="B12" s="15" t="s">
        <v>76</v>
      </c>
      <c r="C12" s="16" t="s">
        <v>523</v>
      </c>
      <c r="D12" s="16" t="s">
        <v>519</v>
      </c>
      <c r="E12" s="16" t="s">
        <v>524</v>
      </c>
      <c r="F12" s="16" t="s">
        <v>525</v>
      </c>
      <c r="G12" s="15" t="s">
        <v>14</v>
      </c>
      <c r="H12" s="16" t="s">
        <v>20</v>
      </c>
      <c r="I12" s="17"/>
      <c r="J12" s="16" t="s">
        <v>20</v>
      </c>
      <c r="K12" s="16" t="s">
        <v>20</v>
      </c>
    </row>
    <row r="13" spans="1:11" ht="44.1" customHeight="1" x14ac:dyDescent="0.25">
      <c r="A13" s="15" t="s">
        <v>526</v>
      </c>
      <c r="B13" s="15" t="s">
        <v>50</v>
      </c>
      <c r="C13" s="16" t="s">
        <v>527</v>
      </c>
      <c r="D13" s="16" t="s">
        <v>519</v>
      </c>
      <c r="E13" s="16" t="s">
        <v>528</v>
      </c>
      <c r="F13" s="16" t="s">
        <v>529</v>
      </c>
      <c r="G13" s="15" t="s">
        <v>14</v>
      </c>
      <c r="H13" s="16" t="s">
        <v>20</v>
      </c>
      <c r="I13" s="17"/>
      <c r="J13" s="16" t="s">
        <v>20</v>
      </c>
      <c r="K13" s="16" t="s">
        <v>20</v>
      </c>
    </row>
    <row r="14" spans="1:11" ht="44.1" customHeight="1" x14ac:dyDescent="0.25">
      <c r="A14" s="15" t="s">
        <v>530</v>
      </c>
      <c r="B14" s="15" t="s">
        <v>50</v>
      </c>
      <c r="C14" s="16" t="s">
        <v>531</v>
      </c>
      <c r="D14" s="16" t="s">
        <v>532</v>
      </c>
      <c r="E14" s="16" t="s">
        <v>533</v>
      </c>
      <c r="F14" s="16" t="s">
        <v>534</v>
      </c>
      <c r="G14" s="15" t="s">
        <v>14</v>
      </c>
      <c r="H14" s="16" t="s">
        <v>20</v>
      </c>
      <c r="I14" s="17"/>
      <c r="J14" s="16" t="s">
        <v>20</v>
      </c>
      <c r="K14" s="16" t="s">
        <v>20</v>
      </c>
    </row>
    <row r="15" spans="1:11" ht="44.1" customHeight="1" x14ac:dyDescent="0.25">
      <c r="A15" s="15" t="s">
        <v>535</v>
      </c>
      <c r="B15" s="15" t="s">
        <v>76</v>
      </c>
      <c r="C15" s="16" t="s">
        <v>536</v>
      </c>
      <c r="D15" s="16" t="s">
        <v>519</v>
      </c>
      <c r="E15" s="16" t="s">
        <v>537</v>
      </c>
      <c r="F15" s="16" t="s">
        <v>538</v>
      </c>
      <c r="G15" s="15" t="s">
        <v>14</v>
      </c>
      <c r="H15" s="16" t="s">
        <v>20</v>
      </c>
      <c r="I15" s="17"/>
      <c r="J15" s="16" t="s">
        <v>20</v>
      </c>
      <c r="K15" s="16" t="s">
        <v>20</v>
      </c>
    </row>
    <row r="16" spans="1:11" ht="44.1" customHeight="1" x14ac:dyDescent="0.25">
      <c r="A16" s="15" t="s">
        <v>539</v>
      </c>
      <c r="B16" s="15" t="s">
        <v>50</v>
      </c>
      <c r="C16" s="16" t="s">
        <v>540</v>
      </c>
      <c r="D16" s="16" t="s">
        <v>519</v>
      </c>
      <c r="E16" s="16" t="s">
        <v>541</v>
      </c>
      <c r="F16" s="16" t="s">
        <v>542</v>
      </c>
      <c r="G16" s="15" t="s">
        <v>14</v>
      </c>
      <c r="H16" s="16" t="s">
        <v>20</v>
      </c>
      <c r="I16" s="17"/>
      <c r="J16" s="16" t="s">
        <v>20</v>
      </c>
      <c r="K16" s="16" t="s">
        <v>20</v>
      </c>
    </row>
    <row r="17" spans="1:11" ht="44.1" customHeight="1" x14ac:dyDescent="0.25">
      <c r="A17" s="15" t="s">
        <v>543</v>
      </c>
      <c r="B17" s="15" t="s">
        <v>50</v>
      </c>
      <c r="C17" s="16" t="s">
        <v>544</v>
      </c>
      <c r="D17" s="16" t="s">
        <v>545</v>
      </c>
      <c r="E17" s="16" t="s">
        <v>546</v>
      </c>
      <c r="F17" s="16" t="s">
        <v>547</v>
      </c>
      <c r="G17" s="15" t="s">
        <v>14</v>
      </c>
      <c r="H17" s="16" t="s">
        <v>20</v>
      </c>
      <c r="I17" s="17"/>
      <c r="J17" s="16" t="s">
        <v>20</v>
      </c>
      <c r="K17" s="16" t="s">
        <v>20</v>
      </c>
    </row>
    <row r="18" spans="1:11" ht="44.1" customHeight="1" x14ac:dyDescent="0.25">
      <c r="A18" s="15" t="s">
        <v>548</v>
      </c>
      <c r="B18" s="15" t="s">
        <v>50</v>
      </c>
      <c r="C18" s="16" t="s">
        <v>549</v>
      </c>
      <c r="D18" s="16" t="s">
        <v>550</v>
      </c>
      <c r="E18" s="16" t="s">
        <v>551</v>
      </c>
      <c r="F18" s="16" t="s">
        <v>552</v>
      </c>
      <c r="G18" s="15" t="s">
        <v>14</v>
      </c>
      <c r="H18" s="16" t="s">
        <v>20</v>
      </c>
      <c r="I18" s="17"/>
      <c r="J18" s="16" t="s">
        <v>20</v>
      </c>
      <c r="K18" s="16" t="s">
        <v>20</v>
      </c>
    </row>
    <row r="19" spans="1:11" ht="44.1" customHeight="1" x14ac:dyDescent="0.25">
      <c r="A19" s="15" t="s">
        <v>553</v>
      </c>
      <c r="B19" s="15" t="s">
        <v>50</v>
      </c>
      <c r="C19" s="16" t="s">
        <v>554</v>
      </c>
      <c r="D19" s="16" t="s">
        <v>555</v>
      </c>
      <c r="E19" s="16" t="s">
        <v>556</v>
      </c>
      <c r="F19" s="16" t="s">
        <v>557</v>
      </c>
      <c r="G19" s="15" t="s">
        <v>14</v>
      </c>
      <c r="H19" s="16" t="s">
        <v>20</v>
      </c>
      <c r="I19" s="17"/>
      <c r="J19" s="16" t="s">
        <v>20</v>
      </c>
      <c r="K19" s="16" t="s">
        <v>20</v>
      </c>
    </row>
    <row r="20" spans="1:11" ht="44.1" customHeight="1" x14ac:dyDescent="0.25">
      <c r="A20" s="15" t="s">
        <v>558</v>
      </c>
      <c r="B20" s="15" t="s">
        <v>50</v>
      </c>
      <c r="C20" s="16" t="s">
        <v>559</v>
      </c>
      <c r="D20" s="16" t="s">
        <v>560</v>
      </c>
      <c r="E20" s="16" t="s">
        <v>561</v>
      </c>
      <c r="F20" s="16" t="s">
        <v>562</v>
      </c>
      <c r="G20" s="15" t="s">
        <v>14</v>
      </c>
      <c r="H20" s="16" t="s">
        <v>20</v>
      </c>
      <c r="I20" s="17"/>
      <c r="J20" s="16" t="s">
        <v>20</v>
      </c>
      <c r="K20" s="16" t="s">
        <v>20</v>
      </c>
    </row>
    <row r="21" spans="1:11" ht="44.1" customHeight="1" x14ac:dyDescent="0.25">
      <c r="A21" s="15" t="s">
        <v>563</v>
      </c>
      <c r="B21" s="15" t="s">
        <v>50</v>
      </c>
      <c r="C21" s="16" t="s">
        <v>564</v>
      </c>
      <c r="D21" s="16" t="s">
        <v>565</v>
      </c>
      <c r="E21" s="16" t="s">
        <v>566</v>
      </c>
      <c r="F21" s="16" t="s">
        <v>567</v>
      </c>
      <c r="G21" s="15" t="s">
        <v>14</v>
      </c>
      <c r="H21" s="16" t="s">
        <v>20</v>
      </c>
      <c r="I21" s="17"/>
      <c r="J21" s="16" t="s">
        <v>20</v>
      </c>
      <c r="K21" s="16" t="s">
        <v>20</v>
      </c>
    </row>
    <row r="22" spans="1:11" ht="44.1" customHeight="1" x14ac:dyDescent="0.25">
      <c r="A22" s="15" t="s">
        <v>568</v>
      </c>
      <c r="B22" s="15" t="s">
        <v>76</v>
      </c>
      <c r="C22" s="16" t="s">
        <v>569</v>
      </c>
      <c r="D22" s="16" t="s">
        <v>570</v>
      </c>
      <c r="E22" s="16" t="s">
        <v>571</v>
      </c>
      <c r="F22" s="16" t="s">
        <v>572</v>
      </c>
      <c r="G22" s="15" t="s">
        <v>14</v>
      </c>
      <c r="H22" s="16" t="s">
        <v>20</v>
      </c>
      <c r="I22" s="17"/>
      <c r="J22" s="16" t="s">
        <v>20</v>
      </c>
      <c r="K22" s="16" t="s">
        <v>20</v>
      </c>
    </row>
  </sheetData>
  <autoFilter ref="A5:K22" xr:uid="{00000000-0009-0000-0000-00000A000000}"/>
  <mergeCells count="2">
    <mergeCell ref="A1:J1"/>
    <mergeCell ref="A2:K2"/>
  </mergeCells>
  <conditionalFormatting sqref="B6:B22">
    <cfRule type="expression" dxfId="39" priority="6">
      <formula>$B6="P0"</formula>
    </cfRule>
    <cfRule type="expression" dxfId="38" priority="7">
      <formula>$B6="P1"</formula>
    </cfRule>
    <cfRule type="expression" dxfId="37" priority="8">
      <formula>$B6="P2"</formula>
    </cfRule>
  </conditionalFormatting>
  <conditionalFormatting sqref="G6:G22">
    <cfRule type="expression" dxfId="36" priority="1">
      <formula>$G6="Pass"</formula>
    </cfRule>
    <cfRule type="expression" dxfId="35" priority="2">
      <formula>$G6="Fail"</formula>
    </cfRule>
    <cfRule type="expression" dxfId="34" priority="3">
      <formula>$G6="Blocked"</formula>
    </cfRule>
    <cfRule type="expression" dxfId="33" priority="4">
      <formula>$G6="In Progress"</formula>
    </cfRule>
    <cfRule type="expression" dxfId="32" priority="5">
      <formula>$G6="N/A"</formula>
    </cfRule>
  </conditionalFormatting>
  <dataValidations count="2">
    <dataValidation type="list" showErrorMessage="1" errorTitle="Select priority" error="Choose P0, P1, or P2." sqref="B6:B22" xr:uid="{00000000-0002-0000-0A00-000000000000}">
      <formula1>"P0,P1,P2"</formula1>
    </dataValidation>
    <dataValidation type="list" showInputMessage="1" showErrorMessage="1" errorTitle="Select a QA status" error="Choose a status from the dropdown list." promptTitle="Execution status" prompt="Update this field while testing." sqref="G6:G22" xr:uid="{00000000-0002-0000-0A00-000002000000}">
      <formula1>"Not Started,In Progress,Pass,Fail,Blocked,N/A"</formula1>
    </dataValidation>
  </dataValidations>
  <hyperlinks>
    <hyperlink ref="K1" location="#'QA Summary'!A1" display="← QA Summary" xr:uid="{00000000-0004-0000-0A00-000000000000}"/>
  </hyperlinks>
  <printOptions horizontalCentered="1"/>
  <pageMargins left="0.25" right="0.25" top="0.35" bottom="0.35" header="0.15" footer="0.15"/>
  <pageSetup paperSize="9" orientation="landscape"/>
  <headerFooter>
    <oddFooter>&amp;LDEV QA - Service Model&amp;RPage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F75B5"/>
    <pageSetUpPr fitToPage="1"/>
  </sheetPr>
  <dimension ref="A1:K12"/>
  <sheetViews>
    <sheetView showGridLines="0" workbookViewId="0">
      <pane xSplit="6" ySplit="5" topLeftCell="G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3" customWidth="1"/>
    <col min="3" max="3" width="29" customWidth="1"/>
    <col min="4" max="4" width="33" customWidth="1"/>
    <col min="5" max="6" width="54" customWidth="1"/>
    <col min="7" max="7" width="15" customWidth="1"/>
    <col min="8" max="8" width="18" customWidth="1"/>
    <col min="9" max="9" width="13" customWidth="1"/>
    <col min="10" max="10" width="29" customWidth="1"/>
    <col min="11" max="11" width="32" customWidth="1"/>
  </cols>
  <sheetData>
    <row r="1" spans="1:11" ht="27.95" customHeight="1" x14ac:dyDescent="0.25">
      <c r="A1" s="22" t="s">
        <v>573</v>
      </c>
      <c r="B1" s="22"/>
      <c r="C1" s="22"/>
      <c r="D1" s="22"/>
      <c r="E1" s="22"/>
      <c r="F1" s="22"/>
      <c r="G1" s="22"/>
      <c r="H1" s="22"/>
      <c r="I1" s="22"/>
      <c r="J1" s="22"/>
      <c r="K1" s="13" t="s">
        <v>35</v>
      </c>
    </row>
    <row r="2" spans="1:11" ht="32.1" customHeight="1" x14ac:dyDescent="0.25">
      <c r="A2" s="21" t="s">
        <v>574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26.1" customHeight="1" x14ac:dyDescent="0.25">
      <c r="A3" s="1" t="s">
        <v>10</v>
      </c>
      <c r="B3" s="2">
        <f>COUNTA(A6:A12)</f>
        <v>7</v>
      </c>
      <c r="C3" s="1" t="s">
        <v>3</v>
      </c>
      <c r="D3" s="2">
        <f>COUNTIF(G6:G12,"Pass")</f>
        <v>0</v>
      </c>
      <c r="E3" s="1" t="s">
        <v>4</v>
      </c>
      <c r="F3" s="2">
        <f>COUNTIF(G6:G12,"Fail")</f>
        <v>0</v>
      </c>
      <c r="G3" s="1" t="s">
        <v>5</v>
      </c>
      <c r="H3" s="2">
        <f>COUNTIF(G6:G12,"Blocked")</f>
        <v>0</v>
      </c>
      <c r="I3" s="1" t="s">
        <v>37</v>
      </c>
      <c r="J3" s="3">
        <f>IF(B3=0,0,(COUNTIF(G6:G12,"Pass")+COUNTIF(G6:G12,"Fail")+COUNTIF(G6:G12,"Blocked")+COUNTIF(G6:G12,"N/A"))/B3)</f>
        <v>0</v>
      </c>
      <c r="K3" s="14" t="s">
        <v>38</v>
      </c>
    </row>
    <row r="4" spans="1:11" ht="8.1" customHeight="1" x14ac:dyDescent="0.25"/>
    <row r="5" spans="1:11" ht="32.1" customHeight="1" x14ac:dyDescent="0.25">
      <c r="A5" s="4" t="s">
        <v>39</v>
      </c>
      <c r="B5" s="4" t="s">
        <v>40</v>
      </c>
      <c r="C5" s="4" t="s">
        <v>41</v>
      </c>
      <c r="D5" s="4" t="s">
        <v>42</v>
      </c>
      <c r="E5" s="4" t="s">
        <v>43</v>
      </c>
      <c r="F5" s="4" t="s">
        <v>44</v>
      </c>
      <c r="G5" s="4" t="s">
        <v>45</v>
      </c>
      <c r="H5" s="4" t="s">
        <v>46</v>
      </c>
      <c r="I5" s="4" t="s">
        <v>47</v>
      </c>
      <c r="J5" s="4" t="s">
        <v>48</v>
      </c>
      <c r="K5" s="4" t="s">
        <v>18</v>
      </c>
    </row>
    <row r="6" spans="1:11" ht="44.1" customHeight="1" x14ac:dyDescent="0.25">
      <c r="A6" s="15" t="s">
        <v>575</v>
      </c>
      <c r="B6" s="15" t="s">
        <v>76</v>
      </c>
      <c r="C6" s="16" t="s">
        <v>576</v>
      </c>
      <c r="D6" s="16" t="s">
        <v>577</v>
      </c>
      <c r="E6" s="16" t="s">
        <v>578</v>
      </c>
      <c r="F6" s="16" t="s">
        <v>579</v>
      </c>
      <c r="G6" s="15" t="s">
        <v>14</v>
      </c>
      <c r="H6" s="16" t="s">
        <v>20</v>
      </c>
      <c r="I6" s="17"/>
      <c r="J6" s="16" t="s">
        <v>20</v>
      </c>
      <c r="K6" s="16" t="s">
        <v>20</v>
      </c>
    </row>
    <row r="7" spans="1:11" ht="44.1" customHeight="1" x14ac:dyDescent="0.25">
      <c r="A7" s="15" t="s">
        <v>580</v>
      </c>
      <c r="B7" s="15" t="s">
        <v>76</v>
      </c>
      <c r="C7" s="16" t="s">
        <v>581</v>
      </c>
      <c r="D7" s="16" t="s">
        <v>582</v>
      </c>
      <c r="E7" s="16" t="s">
        <v>583</v>
      </c>
      <c r="F7" s="16" t="s">
        <v>584</v>
      </c>
      <c r="G7" s="15" t="s">
        <v>14</v>
      </c>
      <c r="H7" s="16" t="s">
        <v>20</v>
      </c>
      <c r="I7" s="17"/>
      <c r="J7" s="16" t="s">
        <v>20</v>
      </c>
      <c r="K7" s="16" t="s">
        <v>20</v>
      </c>
    </row>
    <row r="8" spans="1:11" ht="44.1" customHeight="1" x14ac:dyDescent="0.25">
      <c r="A8" s="15" t="s">
        <v>585</v>
      </c>
      <c r="B8" s="15" t="s">
        <v>76</v>
      </c>
      <c r="C8" s="16" t="s">
        <v>586</v>
      </c>
      <c r="D8" s="16" t="s">
        <v>587</v>
      </c>
      <c r="E8" s="16" t="s">
        <v>583</v>
      </c>
      <c r="F8" s="16" t="s">
        <v>588</v>
      </c>
      <c r="G8" s="15" t="s">
        <v>14</v>
      </c>
      <c r="H8" s="16" t="s">
        <v>20</v>
      </c>
      <c r="I8" s="17"/>
      <c r="J8" s="16" t="s">
        <v>20</v>
      </c>
      <c r="K8" s="16" t="s">
        <v>20</v>
      </c>
    </row>
    <row r="9" spans="1:11" ht="44.1" customHeight="1" x14ac:dyDescent="0.25">
      <c r="A9" s="15" t="s">
        <v>589</v>
      </c>
      <c r="B9" s="15" t="s">
        <v>76</v>
      </c>
      <c r="C9" s="16" t="s">
        <v>590</v>
      </c>
      <c r="D9" s="16" t="s">
        <v>591</v>
      </c>
      <c r="E9" s="16" t="s">
        <v>583</v>
      </c>
      <c r="F9" s="16" t="s">
        <v>592</v>
      </c>
      <c r="G9" s="15" t="s">
        <v>14</v>
      </c>
      <c r="H9" s="16" t="s">
        <v>20</v>
      </c>
      <c r="I9" s="17"/>
      <c r="J9" s="16" t="s">
        <v>20</v>
      </c>
      <c r="K9" s="16" t="s">
        <v>20</v>
      </c>
    </row>
    <row r="10" spans="1:11" ht="44.1" customHeight="1" x14ac:dyDescent="0.25">
      <c r="A10" s="15" t="s">
        <v>593</v>
      </c>
      <c r="B10" s="15" t="s">
        <v>76</v>
      </c>
      <c r="C10" s="16" t="s">
        <v>594</v>
      </c>
      <c r="D10" s="16" t="s">
        <v>595</v>
      </c>
      <c r="E10" s="16" t="s">
        <v>583</v>
      </c>
      <c r="F10" s="16" t="s">
        <v>596</v>
      </c>
      <c r="G10" s="15" t="s">
        <v>14</v>
      </c>
      <c r="H10" s="16" t="s">
        <v>20</v>
      </c>
      <c r="I10" s="17"/>
      <c r="J10" s="16" t="s">
        <v>20</v>
      </c>
      <c r="K10" s="16" t="s">
        <v>20</v>
      </c>
    </row>
    <row r="11" spans="1:11" ht="44.1" customHeight="1" x14ac:dyDescent="0.25">
      <c r="A11" s="15" t="s">
        <v>597</v>
      </c>
      <c r="B11" s="15" t="s">
        <v>76</v>
      </c>
      <c r="C11" s="16" t="s">
        <v>598</v>
      </c>
      <c r="D11" s="16" t="s">
        <v>599</v>
      </c>
      <c r="E11" s="16" t="s">
        <v>600</v>
      </c>
      <c r="F11" s="16" t="s">
        <v>601</v>
      </c>
      <c r="G11" s="15" t="s">
        <v>14</v>
      </c>
      <c r="H11" s="16" t="s">
        <v>20</v>
      </c>
      <c r="I11" s="17"/>
      <c r="J11" s="16" t="s">
        <v>20</v>
      </c>
      <c r="K11" s="16" t="s">
        <v>20</v>
      </c>
    </row>
    <row r="12" spans="1:11" ht="44.1" customHeight="1" x14ac:dyDescent="0.25">
      <c r="A12" s="15" t="s">
        <v>602</v>
      </c>
      <c r="B12" s="15" t="s">
        <v>76</v>
      </c>
      <c r="C12" s="16" t="s">
        <v>603</v>
      </c>
      <c r="D12" s="16" t="s">
        <v>604</v>
      </c>
      <c r="E12" s="16" t="s">
        <v>605</v>
      </c>
      <c r="F12" s="16" t="s">
        <v>606</v>
      </c>
      <c r="G12" s="15" t="s">
        <v>14</v>
      </c>
      <c r="H12" s="16" t="s">
        <v>20</v>
      </c>
      <c r="I12" s="17"/>
      <c r="J12" s="16" t="s">
        <v>20</v>
      </c>
      <c r="K12" s="16" t="s">
        <v>20</v>
      </c>
    </row>
  </sheetData>
  <autoFilter ref="A5:K12" xr:uid="{00000000-0009-0000-0000-00000B000000}"/>
  <mergeCells count="2">
    <mergeCell ref="A1:J1"/>
    <mergeCell ref="A2:K2"/>
  </mergeCells>
  <conditionalFormatting sqref="B6:B12">
    <cfRule type="expression" dxfId="31" priority="6">
      <formula>$B6="P0"</formula>
    </cfRule>
    <cfRule type="expression" dxfId="30" priority="7">
      <formula>$B6="P1"</formula>
    </cfRule>
    <cfRule type="expression" dxfId="29" priority="8">
      <formula>$B6="P2"</formula>
    </cfRule>
  </conditionalFormatting>
  <conditionalFormatting sqref="G6:G12">
    <cfRule type="expression" dxfId="28" priority="1">
      <formula>$G6="Pass"</formula>
    </cfRule>
    <cfRule type="expression" dxfId="27" priority="2">
      <formula>$G6="Fail"</formula>
    </cfRule>
    <cfRule type="expression" dxfId="26" priority="3">
      <formula>$G6="Blocked"</formula>
    </cfRule>
    <cfRule type="expression" dxfId="25" priority="4">
      <formula>$G6="In Progress"</formula>
    </cfRule>
    <cfRule type="expression" dxfId="24" priority="5">
      <formula>$G6="N/A"</formula>
    </cfRule>
  </conditionalFormatting>
  <dataValidations count="2">
    <dataValidation type="list" showErrorMessage="1" errorTitle="Select priority" error="Choose P0, P1, or P2." sqref="B6:B12" xr:uid="{00000000-0002-0000-0B00-000000000000}">
      <formula1>"P0,P1,P2"</formula1>
    </dataValidation>
    <dataValidation type="list" showInputMessage="1" showErrorMessage="1" errorTitle="Select a QA status" error="Choose a status from the dropdown list." promptTitle="Execution status" prompt="Update this field while testing." sqref="G6:G12" xr:uid="{00000000-0002-0000-0B00-000002000000}">
      <formula1>"Not Started,In Progress,Pass,Fail,Blocked,N/A"</formula1>
    </dataValidation>
  </dataValidations>
  <hyperlinks>
    <hyperlink ref="K1" location="#'QA Summary'!A1" display="← QA Summary" xr:uid="{00000000-0004-0000-0B00-000000000000}"/>
  </hyperlinks>
  <printOptions horizontalCentered="1"/>
  <pageMargins left="0.25" right="0.25" top="0.35" bottom="0.35" header="0.15" footer="0.15"/>
  <pageSetup paperSize="9" orientation="landscape"/>
  <headerFooter>
    <oddFooter>&amp;LDEV QA - Help Center&amp;RPage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8C95"/>
    <pageSetUpPr fitToPage="1"/>
  </sheetPr>
  <dimension ref="A1:K11"/>
  <sheetViews>
    <sheetView showGridLines="0" workbookViewId="0">
      <pane xSplit="6" ySplit="5" topLeftCell="G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3" customWidth="1"/>
    <col min="3" max="3" width="29" customWidth="1"/>
    <col min="4" max="4" width="33" customWidth="1"/>
    <col min="5" max="6" width="54" customWidth="1"/>
    <col min="7" max="7" width="15" customWidth="1"/>
    <col min="8" max="8" width="18" customWidth="1"/>
    <col min="9" max="9" width="13" customWidth="1"/>
    <col min="10" max="10" width="29" customWidth="1"/>
    <col min="11" max="11" width="32" customWidth="1"/>
  </cols>
  <sheetData>
    <row r="1" spans="1:11" ht="27.95" customHeight="1" x14ac:dyDescent="0.25">
      <c r="A1" s="22" t="s">
        <v>607</v>
      </c>
      <c r="B1" s="22"/>
      <c r="C1" s="22"/>
      <c r="D1" s="22"/>
      <c r="E1" s="22"/>
      <c r="F1" s="22"/>
      <c r="G1" s="22"/>
      <c r="H1" s="22"/>
      <c r="I1" s="22"/>
      <c r="J1" s="22"/>
      <c r="K1" s="13" t="s">
        <v>35</v>
      </c>
    </row>
    <row r="2" spans="1:11" ht="32.1" customHeight="1" x14ac:dyDescent="0.25">
      <c r="A2" s="21" t="s">
        <v>608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26.1" customHeight="1" x14ac:dyDescent="0.25">
      <c r="A3" s="1" t="s">
        <v>10</v>
      </c>
      <c r="B3" s="2">
        <f>COUNTA(A6:A11)</f>
        <v>6</v>
      </c>
      <c r="C3" s="1" t="s">
        <v>3</v>
      </c>
      <c r="D3" s="2">
        <f>COUNTIF(G6:G11,"Pass")</f>
        <v>0</v>
      </c>
      <c r="E3" s="1" t="s">
        <v>4</v>
      </c>
      <c r="F3" s="2">
        <f>COUNTIF(G6:G11,"Fail")</f>
        <v>0</v>
      </c>
      <c r="G3" s="1" t="s">
        <v>5</v>
      </c>
      <c r="H3" s="2">
        <f>COUNTIF(G6:G11,"Blocked")</f>
        <v>0</v>
      </c>
      <c r="I3" s="1" t="s">
        <v>37</v>
      </c>
      <c r="J3" s="3">
        <f>IF(B3=0,0,(COUNTIF(G6:G11,"Pass")+COUNTIF(G6:G11,"Fail")+COUNTIF(G6:G11,"Blocked")+COUNTIF(G6:G11,"N/A"))/B3)</f>
        <v>0</v>
      </c>
      <c r="K3" s="14" t="s">
        <v>38</v>
      </c>
    </row>
    <row r="4" spans="1:11" ht="8.1" customHeight="1" x14ac:dyDescent="0.25"/>
    <row r="5" spans="1:11" ht="32.1" customHeight="1" x14ac:dyDescent="0.25">
      <c r="A5" s="4" t="s">
        <v>39</v>
      </c>
      <c r="B5" s="4" t="s">
        <v>40</v>
      </c>
      <c r="C5" s="4" t="s">
        <v>41</v>
      </c>
      <c r="D5" s="4" t="s">
        <v>42</v>
      </c>
      <c r="E5" s="4" t="s">
        <v>43</v>
      </c>
      <c r="F5" s="4" t="s">
        <v>44</v>
      </c>
      <c r="G5" s="4" t="s">
        <v>45</v>
      </c>
      <c r="H5" s="4" t="s">
        <v>46</v>
      </c>
      <c r="I5" s="4" t="s">
        <v>47</v>
      </c>
      <c r="J5" s="4" t="s">
        <v>48</v>
      </c>
      <c r="K5" s="4" t="s">
        <v>18</v>
      </c>
    </row>
    <row r="6" spans="1:11" ht="44.1" customHeight="1" x14ac:dyDescent="0.25">
      <c r="A6" s="15" t="s">
        <v>609</v>
      </c>
      <c r="B6" s="15" t="s">
        <v>50</v>
      </c>
      <c r="C6" s="16" t="s">
        <v>610</v>
      </c>
      <c r="D6" s="16" t="s">
        <v>611</v>
      </c>
      <c r="E6" s="16" t="s">
        <v>612</v>
      </c>
      <c r="F6" s="16" t="s">
        <v>613</v>
      </c>
      <c r="G6" s="15" t="s">
        <v>14</v>
      </c>
      <c r="H6" s="16" t="s">
        <v>20</v>
      </c>
      <c r="I6" s="17"/>
      <c r="J6" s="16" t="s">
        <v>20</v>
      </c>
      <c r="K6" s="16" t="s">
        <v>20</v>
      </c>
    </row>
    <row r="7" spans="1:11" ht="44.1" customHeight="1" x14ac:dyDescent="0.25">
      <c r="A7" s="15" t="s">
        <v>614</v>
      </c>
      <c r="B7" s="15" t="s">
        <v>50</v>
      </c>
      <c r="C7" s="16" t="s">
        <v>615</v>
      </c>
      <c r="D7" s="16" t="s">
        <v>616</v>
      </c>
      <c r="E7" s="16" t="s">
        <v>617</v>
      </c>
      <c r="F7" s="16" t="s">
        <v>618</v>
      </c>
      <c r="G7" s="15" t="s">
        <v>14</v>
      </c>
      <c r="H7" s="16" t="s">
        <v>20</v>
      </c>
      <c r="I7" s="17"/>
      <c r="J7" s="16" t="s">
        <v>20</v>
      </c>
      <c r="K7" s="16" t="s">
        <v>20</v>
      </c>
    </row>
    <row r="8" spans="1:11" ht="44.1" customHeight="1" x14ac:dyDescent="0.25">
      <c r="A8" s="15" t="s">
        <v>619</v>
      </c>
      <c r="B8" s="15" t="s">
        <v>50</v>
      </c>
      <c r="C8" s="16" t="s">
        <v>620</v>
      </c>
      <c r="D8" s="16" t="s">
        <v>621</v>
      </c>
      <c r="E8" s="16" t="s">
        <v>622</v>
      </c>
      <c r="F8" s="16" t="s">
        <v>623</v>
      </c>
      <c r="G8" s="15" t="s">
        <v>14</v>
      </c>
      <c r="H8" s="16" t="s">
        <v>20</v>
      </c>
      <c r="I8" s="17"/>
      <c r="J8" s="16" t="s">
        <v>20</v>
      </c>
      <c r="K8" s="16" t="s">
        <v>20</v>
      </c>
    </row>
    <row r="9" spans="1:11" ht="44.1" customHeight="1" x14ac:dyDescent="0.25">
      <c r="A9" s="15" t="s">
        <v>624</v>
      </c>
      <c r="B9" s="15" t="s">
        <v>50</v>
      </c>
      <c r="C9" s="16" t="s">
        <v>625</v>
      </c>
      <c r="D9" s="16" t="s">
        <v>626</v>
      </c>
      <c r="E9" s="16" t="s">
        <v>627</v>
      </c>
      <c r="F9" s="16" t="s">
        <v>628</v>
      </c>
      <c r="G9" s="15" t="s">
        <v>14</v>
      </c>
      <c r="H9" s="16" t="s">
        <v>20</v>
      </c>
      <c r="I9" s="17"/>
      <c r="J9" s="16" t="s">
        <v>20</v>
      </c>
      <c r="K9" s="16" t="s">
        <v>20</v>
      </c>
    </row>
    <row r="10" spans="1:11" ht="44.1" customHeight="1" x14ac:dyDescent="0.25">
      <c r="A10" s="15" t="s">
        <v>629</v>
      </c>
      <c r="B10" s="15" t="s">
        <v>76</v>
      </c>
      <c r="C10" s="16" t="s">
        <v>630</v>
      </c>
      <c r="D10" s="16" t="s">
        <v>631</v>
      </c>
      <c r="E10" s="16" t="s">
        <v>632</v>
      </c>
      <c r="F10" s="16" t="s">
        <v>633</v>
      </c>
      <c r="G10" s="15" t="s">
        <v>14</v>
      </c>
      <c r="H10" s="16" t="s">
        <v>20</v>
      </c>
      <c r="I10" s="17"/>
      <c r="J10" s="16" t="s">
        <v>20</v>
      </c>
      <c r="K10" s="16" t="s">
        <v>20</v>
      </c>
    </row>
    <row r="11" spans="1:11" ht="44.1" customHeight="1" x14ac:dyDescent="0.25">
      <c r="A11" s="15" t="s">
        <v>634</v>
      </c>
      <c r="B11" s="15" t="s">
        <v>50</v>
      </c>
      <c r="C11" s="16" t="s">
        <v>635</v>
      </c>
      <c r="D11" s="16" t="s">
        <v>636</v>
      </c>
      <c r="E11" s="16" t="s">
        <v>478</v>
      </c>
      <c r="F11" s="16" t="s">
        <v>637</v>
      </c>
      <c r="G11" s="15" t="s">
        <v>14</v>
      </c>
      <c r="H11" s="16" t="s">
        <v>20</v>
      </c>
      <c r="I11" s="17"/>
      <c r="J11" s="16" t="s">
        <v>20</v>
      </c>
      <c r="K11" s="16" t="s">
        <v>20</v>
      </c>
    </row>
  </sheetData>
  <autoFilter ref="A5:K11" xr:uid="{00000000-0009-0000-0000-00000C000000}"/>
  <mergeCells count="2">
    <mergeCell ref="A1:J1"/>
    <mergeCell ref="A2:K2"/>
  </mergeCells>
  <conditionalFormatting sqref="B6:B11">
    <cfRule type="expression" dxfId="23" priority="6">
      <formula>$B6="P0"</formula>
    </cfRule>
    <cfRule type="expression" dxfId="22" priority="7">
      <formula>$B6="P1"</formula>
    </cfRule>
    <cfRule type="expression" dxfId="21" priority="8">
      <formula>$B6="P2"</formula>
    </cfRule>
  </conditionalFormatting>
  <conditionalFormatting sqref="G6:G11">
    <cfRule type="expression" dxfId="20" priority="1">
      <formula>$G6="Pass"</formula>
    </cfRule>
    <cfRule type="expression" dxfId="19" priority="2">
      <formula>$G6="Fail"</formula>
    </cfRule>
    <cfRule type="expression" dxfId="18" priority="3">
      <formula>$G6="Blocked"</formula>
    </cfRule>
    <cfRule type="expression" dxfId="17" priority="4">
      <formula>$G6="In Progress"</formula>
    </cfRule>
    <cfRule type="expression" dxfId="16" priority="5">
      <formula>$G6="N/A"</formula>
    </cfRule>
  </conditionalFormatting>
  <dataValidations count="2">
    <dataValidation type="list" showErrorMessage="1" errorTitle="Select priority" error="Choose P0, P1, or P2." sqref="B6:B11" xr:uid="{00000000-0002-0000-0C00-000000000000}">
      <formula1>"P0,P1,P2"</formula1>
    </dataValidation>
    <dataValidation type="list" showInputMessage="1" showErrorMessage="1" errorTitle="Select a QA status" error="Choose a status from the dropdown list." promptTitle="Execution status" prompt="Update this field while testing." sqref="G6:G11" xr:uid="{00000000-0002-0000-0C00-000002000000}">
      <formula1>"Not Started,In Progress,Pass,Fail,Blocked,N/A"</formula1>
    </dataValidation>
  </dataValidations>
  <hyperlinks>
    <hyperlink ref="K1" location="#'QA Summary'!A1" display="← QA Summary" xr:uid="{00000000-0004-0000-0C00-000000000000}"/>
  </hyperlinks>
  <printOptions horizontalCentered="1"/>
  <pageMargins left="0.25" right="0.25" top="0.35" bottom="0.35" header="0.15" footer="0.15"/>
  <pageSetup paperSize="9" orientation="landscape"/>
  <headerFooter>
    <oddFooter>&amp;LDEV QA - Notifications Email&amp;RPage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2F75B5"/>
    <pageSetUpPr fitToPage="1"/>
  </sheetPr>
  <dimension ref="A1:K15"/>
  <sheetViews>
    <sheetView showGridLines="0" workbookViewId="0">
      <pane xSplit="6" ySplit="5" topLeftCell="G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3" customWidth="1"/>
    <col min="3" max="3" width="29" customWidth="1"/>
    <col min="4" max="4" width="33" customWidth="1"/>
    <col min="5" max="6" width="54" customWidth="1"/>
    <col min="7" max="7" width="15" customWidth="1"/>
    <col min="8" max="8" width="18" customWidth="1"/>
    <col min="9" max="9" width="13" customWidth="1"/>
    <col min="10" max="10" width="29" customWidth="1"/>
    <col min="11" max="11" width="32" customWidth="1"/>
  </cols>
  <sheetData>
    <row r="1" spans="1:11" ht="27.95" customHeight="1" x14ac:dyDescent="0.25">
      <c r="A1" s="22" t="s">
        <v>638</v>
      </c>
      <c r="B1" s="22"/>
      <c r="C1" s="22"/>
      <c r="D1" s="22"/>
      <c r="E1" s="22"/>
      <c r="F1" s="22"/>
      <c r="G1" s="22"/>
      <c r="H1" s="22"/>
      <c r="I1" s="22"/>
      <c r="J1" s="22"/>
      <c r="K1" s="13" t="s">
        <v>35</v>
      </c>
    </row>
    <row r="2" spans="1:11" ht="32.1" customHeight="1" x14ac:dyDescent="0.25">
      <c r="A2" s="21" t="s">
        <v>639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26.1" customHeight="1" x14ac:dyDescent="0.25">
      <c r="A3" s="1" t="s">
        <v>10</v>
      </c>
      <c r="B3" s="2">
        <f>COUNTA(A6:A15)</f>
        <v>10</v>
      </c>
      <c r="C3" s="1" t="s">
        <v>3</v>
      </c>
      <c r="D3" s="2">
        <f>COUNTIF(G6:G15,"Pass")</f>
        <v>0</v>
      </c>
      <c r="E3" s="1" t="s">
        <v>4</v>
      </c>
      <c r="F3" s="2">
        <f>COUNTIF(G6:G15,"Fail")</f>
        <v>0</v>
      </c>
      <c r="G3" s="1" t="s">
        <v>5</v>
      </c>
      <c r="H3" s="2">
        <f>COUNTIF(G6:G15,"Blocked")</f>
        <v>0</v>
      </c>
      <c r="I3" s="1" t="s">
        <v>37</v>
      </c>
      <c r="J3" s="3">
        <f>IF(B3=0,0,(COUNTIF(G6:G15,"Pass")+COUNTIF(G6:G15,"Fail")+COUNTIF(G6:G15,"Blocked")+COUNTIF(G6:G15,"N/A"))/B3)</f>
        <v>0</v>
      </c>
      <c r="K3" s="14" t="s">
        <v>38</v>
      </c>
    </row>
    <row r="4" spans="1:11" ht="8.1" customHeight="1" x14ac:dyDescent="0.25"/>
    <row r="5" spans="1:11" ht="32.1" customHeight="1" x14ac:dyDescent="0.25">
      <c r="A5" s="4" t="s">
        <v>39</v>
      </c>
      <c r="B5" s="4" t="s">
        <v>40</v>
      </c>
      <c r="C5" s="4" t="s">
        <v>41</v>
      </c>
      <c r="D5" s="4" t="s">
        <v>42</v>
      </c>
      <c r="E5" s="4" t="s">
        <v>43</v>
      </c>
      <c r="F5" s="4" t="s">
        <v>44</v>
      </c>
      <c r="G5" s="4" t="s">
        <v>45</v>
      </c>
      <c r="H5" s="4" t="s">
        <v>46</v>
      </c>
      <c r="I5" s="4" t="s">
        <v>47</v>
      </c>
      <c r="J5" s="4" t="s">
        <v>48</v>
      </c>
      <c r="K5" s="4" t="s">
        <v>18</v>
      </c>
    </row>
    <row r="6" spans="1:11" ht="44.1" customHeight="1" x14ac:dyDescent="0.25">
      <c r="A6" s="15" t="s">
        <v>640</v>
      </c>
      <c r="B6" s="15" t="s">
        <v>50</v>
      </c>
      <c r="C6" s="16" t="s">
        <v>641</v>
      </c>
      <c r="D6" s="16" t="s">
        <v>642</v>
      </c>
      <c r="E6" s="16" t="s">
        <v>643</v>
      </c>
      <c r="F6" s="16" t="s">
        <v>644</v>
      </c>
      <c r="G6" s="15" t="s">
        <v>14</v>
      </c>
      <c r="H6" s="16" t="s">
        <v>20</v>
      </c>
      <c r="I6" s="17"/>
      <c r="J6" s="16" t="s">
        <v>20</v>
      </c>
      <c r="K6" s="16" t="s">
        <v>20</v>
      </c>
    </row>
    <row r="7" spans="1:11" ht="44.1" customHeight="1" x14ac:dyDescent="0.25">
      <c r="A7" s="15" t="s">
        <v>645</v>
      </c>
      <c r="B7" s="15" t="s">
        <v>50</v>
      </c>
      <c r="C7" s="16" t="s">
        <v>646</v>
      </c>
      <c r="D7" s="16" t="s">
        <v>647</v>
      </c>
      <c r="E7" s="16" t="s">
        <v>648</v>
      </c>
      <c r="F7" s="16" t="s">
        <v>649</v>
      </c>
      <c r="G7" s="15" t="s">
        <v>14</v>
      </c>
      <c r="H7" s="16" t="s">
        <v>20</v>
      </c>
      <c r="I7" s="17"/>
      <c r="J7" s="16" t="s">
        <v>20</v>
      </c>
      <c r="K7" s="16" t="s">
        <v>20</v>
      </c>
    </row>
    <row r="8" spans="1:11" ht="44.1" customHeight="1" x14ac:dyDescent="0.25">
      <c r="A8" s="15" t="s">
        <v>650</v>
      </c>
      <c r="B8" s="15" t="s">
        <v>50</v>
      </c>
      <c r="C8" s="16" t="s">
        <v>651</v>
      </c>
      <c r="D8" s="16" t="s">
        <v>652</v>
      </c>
      <c r="E8" s="16" t="s">
        <v>653</v>
      </c>
      <c r="F8" s="16" t="s">
        <v>654</v>
      </c>
      <c r="G8" s="15" t="s">
        <v>14</v>
      </c>
      <c r="H8" s="16" t="s">
        <v>20</v>
      </c>
      <c r="I8" s="17"/>
      <c r="J8" s="16" t="s">
        <v>20</v>
      </c>
      <c r="K8" s="16" t="s">
        <v>20</v>
      </c>
    </row>
    <row r="9" spans="1:11" ht="44.1" customHeight="1" x14ac:dyDescent="0.25">
      <c r="A9" s="15" t="s">
        <v>655</v>
      </c>
      <c r="B9" s="15" t="s">
        <v>50</v>
      </c>
      <c r="C9" s="16" t="s">
        <v>656</v>
      </c>
      <c r="D9" s="16" t="s">
        <v>657</v>
      </c>
      <c r="E9" s="16" t="s">
        <v>658</v>
      </c>
      <c r="F9" s="16" t="s">
        <v>659</v>
      </c>
      <c r="G9" s="15" t="s">
        <v>14</v>
      </c>
      <c r="H9" s="16" t="s">
        <v>20</v>
      </c>
      <c r="I9" s="17"/>
      <c r="J9" s="16" t="s">
        <v>20</v>
      </c>
      <c r="K9" s="16" t="s">
        <v>20</v>
      </c>
    </row>
    <row r="10" spans="1:11" ht="44.1" customHeight="1" x14ac:dyDescent="0.25">
      <c r="A10" s="15" t="s">
        <v>660</v>
      </c>
      <c r="B10" s="15" t="s">
        <v>50</v>
      </c>
      <c r="C10" s="16" t="s">
        <v>661</v>
      </c>
      <c r="D10" s="16" t="s">
        <v>657</v>
      </c>
      <c r="E10" s="16" t="s">
        <v>662</v>
      </c>
      <c r="F10" s="16" t="s">
        <v>663</v>
      </c>
      <c r="G10" s="15" t="s">
        <v>14</v>
      </c>
      <c r="H10" s="16" t="s">
        <v>20</v>
      </c>
      <c r="I10" s="17"/>
      <c r="J10" s="16" t="s">
        <v>20</v>
      </c>
      <c r="K10" s="16" t="s">
        <v>20</v>
      </c>
    </row>
    <row r="11" spans="1:11" ht="44.1" customHeight="1" x14ac:dyDescent="0.25">
      <c r="A11" s="15" t="s">
        <v>664</v>
      </c>
      <c r="B11" s="15" t="s">
        <v>50</v>
      </c>
      <c r="C11" s="16" t="s">
        <v>665</v>
      </c>
      <c r="D11" s="16" t="s">
        <v>666</v>
      </c>
      <c r="E11" s="16" t="s">
        <v>667</v>
      </c>
      <c r="F11" s="16" t="s">
        <v>668</v>
      </c>
      <c r="G11" s="15" t="s">
        <v>14</v>
      </c>
      <c r="H11" s="16" t="s">
        <v>20</v>
      </c>
      <c r="I11" s="17"/>
      <c r="J11" s="16" t="s">
        <v>20</v>
      </c>
      <c r="K11" s="16" t="s">
        <v>20</v>
      </c>
    </row>
    <row r="12" spans="1:11" ht="44.1" customHeight="1" x14ac:dyDescent="0.25">
      <c r="A12" s="15" t="s">
        <v>669</v>
      </c>
      <c r="B12" s="15" t="s">
        <v>76</v>
      </c>
      <c r="C12" s="16" t="s">
        <v>670</v>
      </c>
      <c r="D12" s="16" t="s">
        <v>671</v>
      </c>
      <c r="E12" s="16" t="s">
        <v>672</v>
      </c>
      <c r="F12" s="16" t="s">
        <v>673</v>
      </c>
      <c r="G12" s="15" t="s">
        <v>14</v>
      </c>
      <c r="H12" s="16" t="s">
        <v>20</v>
      </c>
      <c r="I12" s="17"/>
      <c r="J12" s="16" t="s">
        <v>20</v>
      </c>
      <c r="K12" s="16" t="s">
        <v>20</v>
      </c>
    </row>
    <row r="13" spans="1:11" ht="44.1" customHeight="1" x14ac:dyDescent="0.25">
      <c r="A13" s="15" t="s">
        <v>674</v>
      </c>
      <c r="B13" s="15" t="s">
        <v>50</v>
      </c>
      <c r="C13" s="16" t="s">
        <v>675</v>
      </c>
      <c r="D13" s="16" t="s">
        <v>676</v>
      </c>
      <c r="E13" s="16" t="s">
        <v>677</v>
      </c>
      <c r="F13" s="16" t="s">
        <v>678</v>
      </c>
      <c r="G13" s="15" t="s">
        <v>14</v>
      </c>
      <c r="H13" s="16" t="s">
        <v>20</v>
      </c>
      <c r="I13" s="17"/>
      <c r="J13" s="16" t="s">
        <v>20</v>
      </c>
      <c r="K13" s="16" t="s">
        <v>20</v>
      </c>
    </row>
    <row r="14" spans="1:11" ht="44.1" customHeight="1" x14ac:dyDescent="0.25">
      <c r="A14" s="15" t="s">
        <v>679</v>
      </c>
      <c r="B14" s="15" t="s">
        <v>76</v>
      </c>
      <c r="C14" s="16" t="s">
        <v>680</v>
      </c>
      <c r="D14" s="16" t="s">
        <v>681</v>
      </c>
      <c r="E14" s="16" t="s">
        <v>682</v>
      </c>
      <c r="F14" s="16" t="s">
        <v>683</v>
      </c>
      <c r="G14" s="15" t="s">
        <v>14</v>
      </c>
      <c r="H14" s="16" t="s">
        <v>20</v>
      </c>
      <c r="I14" s="17"/>
      <c r="J14" s="16" t="s">
        <v>20</v>
      </c>
      <c r="K14" s="16" t="s">
        <v>20</v>
      </c>
    </row>
    <row r="15" spans="1:11" ht="44.1" customHeight="1" x14ac:dyDescent="0.25">
      <c r="A15" s="15" t="s">
        <v>684</v>
      </c>
      <c r="B15" s="15" t="s">
        <v>50</v>
      </c>
      <c r="C15" s="16" t="s">
        <v>685</v>
      </c>
      <c r="D15" s="16" t="s">
        <v>686</v>
      </c>
      <c r="E15" s="16" t="s">
        <v>687</v>
      </c>
      <c r="F15" s="16" t="s">
        <v>688</v>
      </c>
      <c r="G15" s="15" t="s">
        <v>14</v>
      </c>
      <c r="H15" s="16" t="s">
        <v>20</v>
      </c>
      <c r="I15" s="17"/>
      <c r="J15" s="16" t="s">
        <v>20</v>
      </c>
      <c r="K15" s="16" t="s">
        <v>20</v>
      </c>
    </row>
  </sheetData>
  <autoFilter ref="A5:K15" xr:uid="{00000000-0009-0000-0000-00000D000000}"/>
  <mergeCells count="2">
    <mergeCell ref="A1:J1"/>
    <mergeCell ref="A2:K2"/>
  </mergeCells>
  <conditionalFormatting sqref="B6:B15">
    <cfRule type="expression" dxfId="15" priority="6">
      <formula>$B6="P0"</formula>
    </cfRule>
    <cfRule type="expression" dxfId="14" priority="7">
      <formula>$B6="P1"</formula>
    </cfRule>
    <cfRule type="expression" dxfId="13" priority="8">
      <formula>$B6="P2"</formula>
    </cfRule>
  </conditionalFormatting>
  <conditionalFormatting sqref="G6:G15">
    <cfRule type="expression" dxfId="12" priority="1">
      <formula>$G6="Pass"</formula>
    </cfRule>
    <cfRule type="expression" dxfId="11" priority="2">
      <formula>$G6="Fail"</formula>
    </cfRule>
    <cfRule type="expression" dxfId="10" priority="3">
      <formula>$G6="Blocked"</formula>
    </cfRule>
    <cfRule type="expression" dxfId="9" priority="4">
      <formula>$G6="In Progress"</formula>
    </cfRule>
    <cfRule type="expression" dxfId="8" priority="5">
      <formula>$G6="N/A"</formula>
    </cfRule>
  </conditionalFormatting>
  <dataValidations count="2">
    <dataValidation type="list" showErrorMessage="1" errorTitle="Select priority" error="Choose P0, P1, or P2." sqref="B6:B15" xr:uid="{00000000-0002-0000-0D00-000000000000}">
      <formula1>"P0,P1,P2"</formula1>
    </dataValidation>
    <dataValidation type="list" showInputMessage="1" showErrorMessage="1" errorTitle="Select a QA status" error="Choose a status from the dropdown list." promptTitle="Execution status" prompt="Update this field while testing." sqref="G6:G15" xr:uid="{00000000-0002-0000-0D00-000002000000}">
      <formula1>"Not Started,In Progress,Pass,Fail,Blocked,N/A"</formula1>
    </dataValidation>
  </dataValidations>
  <hyperlinks>
    <hyperlink ref="K1" location="#'QA Summary'!A1" display="← QA Summary" xr:uid="{00000000-0004-0000-0D00-000000000000}"/>
  </hyperlinks>
  <printOptions horizontalCentered="1"/>
  <pageMargins left="0.25" right="0.25" top="0.35" bottom="0.35" header="0.15" footer="0.15"/>
  <pageSetup paperSize="9" orientation="landscape"/>
  <headerFooter>
    <oddFooter>&amp;LDEV QA - Cleanup Smoke&amp;RPage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8C95"/>
    <pageSetUpPr fitToPage="1"/>
  </sheetPr>
  <dimension ref="A1:K13"/>
  <sheetViews>
    <sheetView showGridLines="0" workbookViewId="0">
      <pane xSplit="6" ySplit="5" topLeftCell="G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3" customWidth="1"/>
    <col min="3" max="3" width="29" customWidth="1"/>
    <col min="4" max="4" width="33" customWidth="1"/>
    <col min="5" max="6" width="54" customWidth="1"/>
    <col min="7" max="7" width="15" customWidth="1"/>
    <col min="8" max="8" width="18" customWidth="1"/>
    <col min="9" max="9" width="13" customWidth="1"/>
    <col min="10" max="10" width="29" customWidth="1"/>
    <col min="11" max="11" width="32" customWidth="1"/>
  </cols>
  <sheetData>
    <row r="1" spans="1:11" ht="27.95" customHeight="1" x14ac:dyDescent="0.25">
      <c r="A1" s="22" t="s">
        <v>689</v>
      </c>
      <c r="B1" s="22"/>
      <c r="C1" s="22"/>
      <c r="D1" s="22"/>
      <c r="E1" s="22"/>
      <c r="F1" s="22"/>
      <c r="G1" s="22"/>
      <c r="H1" s="22"/>
      <c r="I1" s="22"/>
      <c r="J1" s="22"/>
      <c r="K1" s="13" t="s">
        <v>35</v>
      </c>
    </row>
    <row r="2" spans="1:11" ht="32.1" customHeight="1" x14ac:dyDescent="0.25">
      <c r="A2" s="21" t="s">
        <v>690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26.1" customHeight="1" x14ac:dyDescent="0.25">
      <c r="A3" s="1" t="s">
        <v>10</v>
      </c>
      <c r="B3" s="2">
        <f>COUNTA(A6:A13)</f>
        <v>8</v>
      </c>
      <c r="C3" s="1" t="s">
        <v>3</v>
      </c>
      <c r="D3" s="2">
        <f>COUNTIF(G6:G13,"Pass")</f>
        <v>0</v>
      </c>
      <c r="E3" s="1" t="s">
        <v>4</v>
      </c>
      <c r="F3" s="2">
        <f>COUNTIF(G6:G13,"Fail")</f>
        <v>0</v>
      </c>
      <c r="G3" s="1" t="s">
        <v>5</v>
      </c>
      <c r="H3" s="2">
        <f>COUNTIF(G6:G13,"Blocked")</f>
        <v>0</v>
      </c>
      <c r="I3" s="1" t="s">
        <v>37</v>
      </c>
      <c r="J3" s="3">
        <f>IF(B3=0,0,(COUNTIF(G6:G13,"Pass")+COUNTIF(G6:G13,"Fail")+COUNTIF(G6:G13,"Blocked")+COUNTIF(G6:G13,"N/A"))/B3)</f>
        <v>0</v>
      </c>
      <c r="K3" s="14" t="s">
        <v>38</v>
      </c>
    </row>
    <row r="4" spans="1:11" ht="8.1" customHeight="1" x14ac:dyDescent="0.25"/>
    <row r="5" spans="1:11" ht="32.1" customHeight="1" x14ac:dyDescent="0.25">
      <c r="A5" s="4" t="s">
        <v>39</v>
      </c>
      <c r="B5" s="4" t="s">
        <v>40</v>
      </c>
      <c r="C5" s="4" t="s">
        <v>41</v>
      </c>
      <c r="D5" s="4" t="s">
        <v>42</v>
      </c>
      <c r="E5" s="4" t="s">
        <v>43</v>
      </c>
      <c r="F5" s="4" t="s">
        <v>44</v>
      </c>
      <c r="G5" s="4" t="s">
        <v>45</v>
      </c>
      <c r="H5" s="4" t="s">
        <v>46</v>
      </c>
      <c r="I5" s="4" t="s">
        <v>47</v>
      </c>
      <c r="J5" s="4" t="s">
        <v>48</v>
      </c>
      <c r="K5" s="4" t="s">
        <v>18</v>
      </c>
    </row>
    <row r="6" spans="1:11" ht="44.1" customHeight="1" x14ac:dyDescent="0.25">
      <c r="A6" s="15" t="s">
        <v>691</v>
      </c>
      <c r="B6" s="15" t="s">
        <v>50</v>
      </c>
      <c r="C6" s="16" t="s">
        <v>692</v>
      </c>
      <c r="D6" s="16" t="s">
        <v>693</v>
      </c>
      <c r="E6" s="16" t="s">
        <v>694</v>
      </c>
      <c r="F6" s="16" t="s">
        <v>695</v>
      </c>
      <c r="G6" s="15" t="s">
        <v>14</v>
      </c>
      <c r="H6" s="16" t="s">
        <v>20</v>
      </c>
      <c r="I6" s="17"/>
      <c r="J6" s="16" t="s">
        <v>20</v>
      </c>
      <c r="K6" s="16" t="s">
        <v>20</v>
      </c>
    </row>
    <row r="7" spans="1:11" ht="44.1" customHeight="1" x14ac:dyDescent="0.25">
      <c r="A7" s="15" t="s">
        <v>696</v>
      </c>
      <c r="B7" s="15" t="s">
        <v>50</v>
      </c>
      <c r="C7" s="16" t="s">
        <v>697</v>
      </c>
      <c r="D7" s="16" t="s">
        <v>698</v>
      </c>
      <c r="E7" s="16" t="s">
        <v>699</v>
      </c>
      <c r="F7" s="16" t="s">
        <v>700</v>
      </c>
      <c r="G7" s="15" t="s">
        <v>14</v>
      </c>
      <c r="H7" s="16" t="s">
        <v>20</v>
      </c>
      <c r="I7" s="17"/>
      <c r="J7" s="16" t="s">
        <v>20</v>
      </c>
      <c r="K7" s="16" t="s">
        <v>20</v>
      </c>
    </row>
    <row r="8" spans="1:11" ht="44.1" customHeight="1" x14ac:dyDescent="0.25">
      <c r="A8" s="15" t="s">
        <v>701</v>
      </c>
      <c r="B8" s="15" t="s">
        <v>50</v>
      </c>
      <c r="C8" s="16" t="s">
        <v>702</v>
      </c>
      <c r="D8" s="16" t="s">
        <v>703</v>
      </c>
      <c r="E8" s="16" t="s">
        <v>704</v>
      </c>
      <c r="F8" s="16" t="s">
        <v>705</v>
      </c>
      <c r="G8" s="15" t="s">
        <v>14</v>
      </c>
      <c r="H8" s="16" t="s">
        <v>20</v>
      </c>
      <c r="I8" s="17"/>
      <c r="J8" s="16" t="s">
        <v>20</v>
      </c>
      <c r="K8" s="16" t="s">
        <v>20</v>
      </c>
    </row>
    <row r="9" spans="1:11" ht="44.1" customHeight="1" x14ac:dyDescent="0.25">
      <c r="A9" s="15" t="s">
        <v>706</v>
      </c>
      <c r="B9" s="15" t="s">
        <v>50</v>
      </c>
      <c r="C9" s="16" t="s">
        <v>707</v>
      </c>
      <c r="D9" s="16" t="s">
        <v>708</v>
      </c>
      <c r="E9" s="16" t="s">
        <v>709</v>
      </c>
      <c r="F9" s="16" t="s">
        <v>710</v>
      </c>
      <c r="G9" s="15" t="s">
        <v>14</v>
      </c>
      <c r="H9" s="16" t="s">
        <v>20</v>
      </c>
      <c r="I9" s="17"/>
      <c r="J9" s="16" t="s">
        <v>20</v>
      </c>
      <c r="K9" s="16" t="s">
        <v>20</v>
      </c>
    </row>
    <row r="10" spans="1:11" ht="44.1" customHeight="1" x14ac:dyDescent="0.25">
      <c r="A10" s="15" t="s">
        <v>711</v>
      </c>
      <c r="B10" s="15" t="s">
        <v>50</v>
      </c>
      <c r="C10" s="16" t="s">
        <v>712</v>
      </c>
      <c r="D10" s="16" t="s">
        <v>713</v>
      </c>
      <c r="E10" s="16" t="s">
        <v>714</v>
      </c>
      <c r="F10" s="16" t="s">
        <v>715</v>
      </c>
      <c r="G10" s="15" t="s">
        <v>14</v>
      </c>
      <c r="H10" s="16" t="s">
        <v>20</v>
      </c>
      <c r="I10" s="17"/>
      <c r="J10" s="16" t="s">
        <v>20</v>
      </c>
      <c r="K10" s="16" t="s">
        <v>20</v>
      </c>
    </row>
    <row r="11" spans="1:11" ht="44.1" customHeight="1" x14ac:dyDescent="0.25">
      <c r="A11" s="15" t="s">
        <v>716</v>
      </c>
      <c r="B11" s="15" t="s">
        <v>50</v>
      </c>
      <c r="C11" s="16" t="s">
        <v>717</v>
      </c>
      <c r="D11" s="16" t="s">
        <v>718</v>
      </c>
      <c r="E11" s="16" t="s">
        <v>719</v>
      </c>
      <c r="F11" s="16" t="s">
        <v>720</v>
      </c>
      <c r="G11" s="15" t="s">
        <v>14</v>
      </c>
      <c r="H11" s="16" t="s">
        <v>20</v>
      </c>
      <c r="I11" s="17"/>
      <c r="J11" s="16" t="s">
        <v>20</v>
      </c>
      <c r="K11" s="16" t="s">
        <v>20</v>
      </c>
    </row>
    <row r="12" spans="1:11" ht="44.1" customHeight="1" x14ac:dyDescent="0.25">
      <c r="A12" s="15" t="s">
        <v>721</v>
      </c>
      <c r="B12" s="15" t="s">
        <v>50</v>
      </c>
      <c r="C12" s="16" t="s">
        <v>722</v>
      </c>
      <c r="D12" s="16" t="s">
        <v>723</v>
      </c>
      <c r="E12" s="16" t="s">
        <v>724</v>
      </c>
      <c r="F12" s="16" t="s">
        <v>725</v>
      </c>
      <c r="G12" s="15" t="s">
        <v>14</v>
      </c>
      <c r="H12" s="16" t="s">
        <v>20</v>
      </c>
      <c r="I12" s="17"/>
      <c r="J12" s="16" t="s">
        <v>20</v>
      </c>
      <c r="K12" s="16" t="s">
        <v>20</v>
      </c>
    </row>
    <row r="13" spans="1:11" ht="44.1" customHeight="1" x14ac:dyDescent="0.25">
      <c r="A13" s="15" t="s">
        <v>726</v>
      </c>
      <c r="B13" s="15" t="s">
        <v>50</v>
      </c>
      <c r="C13" s="16" t="s">
        <v>727</v>
      </c>
      <c r="D13" s="16" t="s">
        <v>728</v>
      </c>
      <c r="E13" s="16" t="s">
        <v>729</v>
      </c>
      <c r="F13" s="16" t="s">
        <v>730</v>
      </c>
      <c r="G13" s="15" t="s">
        <v>14</v>
      </c>
      <c r="H13" s="16" t="s">
        <v>20</v>
      </c>
      <c r="I13" s="17"/>
      <c r="J13" s="16" t="s">
        <v>20</v>
      </c>
      <c r="K13" s="16" t="s">
        <v>20</v>
      </c>
    </row>
  </sheetData>
  <autoFilter ref="A5:K13" xr:uid="{00000000-0009-0000-0000-00000E000000}"/>
  <mergeCells count="2">
    <mergeCell ref="A1:J1"/>
    <mergeCell ref="A2:K2"/>
  </mergeCells>
  <conditionalFormatting sqref="B6:B13">
    <cfRule type="expression" dxfId="7" priority="6">
      <formula>$B6="P0"</formula>
    </cfRule>
    <cfRule type="expression" dxfId="6" priority="7">
      <formula>$B6="P1"</formula>
    </cfRule>
    <cfRule type="expression" dxfId="5" priority="8">
      <formula>$B6="P2"</formula>
    </cfRule>
  </conditionalFormatting>
  <conditionalFormatting sqref="G6:G13">
    <cfRule type="expression" dxfId="4" priority="1">
      <formula>$G6="Pass"</formula>
    </cfRule>
    <cfRule type="expression" dxfId="3" priority="2">
      <formula>$G6="Fail"</formula>
    </cfRule>
    <cfRule type="expression" dxfId="2" priority="3">
      <formula>$G6="Blocked"</formula>
    </cfRule>
    <cfRule type="expression" dxfId="1" priority="4">
      <formula>$G6="In Progress"</formula>
    </cfRule>
    <cfRule type="expression" dxfId="0" priority="5">
      <formula>$G6="N/A"</formula>
    </cfRule>
  </conditionalFormatting>
  <dataValidations count="2">
    <dataValidation type="list" showErrorMessage="1" errorTitle="Select priority" error="Choose P0, P1, or P2." sqref="B6:B13" xr:uid="{00000000-0002-0000-0E00-000000000000}">
      <formula1>"P0,P1,P2"</formula1>
    </dataValidation>
    <dataValidation type="list" showInputMessage="1" showErrorMessage="1" errorTitle="Select a QA status" error="Choose a status from the dropdown list." promptTitle="Execution status" prompt="Update this field while testing." sqref="G6:G13" xr:uid="{00000000-0002-0000-0E00-000002000000}">
      <formula1>"Not Started,In Progress,Pass,Fail,Blocked,N/A"</formula1>
    </dataValidation>
  </dataValidations>
  <hyperlinks>
    <hyperlink ref="K1" location="#'QA Summary'!A1" display="← QA Summary" xr:uid="{00000000-0004-0000-0E00-000000000000}"/>
  </hyperlinks>
  <printOptions horizontalCentered="1"/>
  <pageMargins left="0.25" right="0.25" top="0.35" bottom="0.35" header="0.15" footer="0.15"/>
  <pageSetup paperSize="9" orientation="landscape"/>
  <headerFooter>
    <oddFooter>&amp;LDEV QA - Exit Criteria&amp;RPage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HeadingPairs>
  <TitlesOfParts>
    <vt:vector size="45" baseType="lpstr">
      <vt:lpstr>QA Summary</vt:lpstr>
      <vt:lpstr>Test Setup</vt:lpstr>
      <vt:lpstr>Resource Onboarding</vt:lpstr>
      <vt:lpstr>Workspace Switching</vt:lpstr>
      <vt:lpstr>Deployment</vt:lpstr>
      <vt:lpstr>Inspection Completion</vt:lpstr>
      <vt:lpstr>Invoice Lifecycle</vt:lpstr>
      <vt:lpstr>Gusto Payouts</vt:lpstr>
      <vt:lpstr>Scheduler Regression</vt:lpstr>
      <vt:lpstr>Employees Owners</vt:lpstr>
      <vt:lpstr>Service Model</vt:lpstr>
      <vt:lpstr>Help Center</vt:lpstr>
      <vt:lpstr>Notifications Email</vt:lpstr>
      <vt:lpstr>Cleanup Smoke</vt:lpstr>
      <vt:lpstr>Exit Criteria</vt:lpstr>
      <vt:lpstr>'Cleanup Smoke'!Print_Area</vt:lpstr>
      <vt:lpstr>Deployment!Print_Area</vt:lpstr>
      <vt:lpstr>'Employees Owners'!Print_Area</vt:lpstr>
      <vt:lpstr>'Exit Criteria'!Print_Area</vt:lpstr>
      <vt:lpstr>'Gusto Payouts'!Print_Area</vt:lpstr>
      <vt:lpstr>'Help Center'!Print_Area</vt:lpstr>
      <vt:lpstr>'Inspection Completion'!Print_Area</vt:lpstr>
      <vt:lpstr>'Invoice Lifecycle'!Print_Area</vt:lpstr>
      <vt:lpstr>'Notifications Email'!Print_Area</vt:lpstr>
      <vt:lpstr>'QA Summary'!Print_Area</vt:lpstr>
      <vt:lpstr>'Resource Onboarding'!Print_Area</vt:lpstr>
      <vt:lpstr>'Scheduler Regression'!Print_Area</vt:lpstr>
      <vt:lpstr>'Service Model'!Print_Area</vt:lpstr>
      <vt:lpstr>'Test Setup'!Print_Area</vt:lpstr>
      <vt:lpstr>'Workspace Switching'!Print_Area</vt:lpstr>
      <vt:lpstr>'Cleanup Smoke'!Print_Titles</vt:lpstr>
      <vt:lpstr>Deployment!Print_Titles</vt:lpstr>
      <vt:lpstr>'Employees Owners'!Print_Titles</vt:lpstr>
      <vt:lpstr>'Exit Criteria'!Print_Titles</vt:lpstr>
      <vt:lpstr>'Gusto Payouts'!Print_Titles</vt:lpstr>
      <vt:lpstr>'Help Center'!Print_Titles</vt:lpstr>
      <vt:lpstr>'Inspection Completion'!Print_Titles</vt:lpstr>
      <vt:lpstr>'Invoice Lifecycle'!Print_Titles</vt:lpstr>
      <vt:lpstr>'Notifications Email'!Print_Titles</vt:lpstr>
      <vt:lpstr>'QA Summary'!Print_Titles</vt:lpstr>
      <vt:lpstr>'Resource Onboarding'!Print_Titles</vt:lpstr>
      <vt:lpstr>'Scheduler Regression'!Print_Titles</vt:lpstr>
      <vt:lpstr>'Service Model'!Print_Titles</vt:lpstr>
      <vt:lpstr>'Test Setup'!Print_Titles</vt:lpstr>
      <vt:lpstr>'Workspace Switching'!Print_Titles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DEV Changes QA Tracker</dc:title>
  <dc:subject>QA criteria for DEV changes implemented 2026-08-02</dc:subject>
  <dc:creator/>
  <cp:keywords>DEV QA resource onboarding billing payouts scheduler service model cleanup</cp:keywords>
  <dc:description>Formula-driven QA tracker with one worksheet per test module.</dc:description>
  <cp:lastModifiedBy/>
  <dcterms:created xsi:type="dcterms:W3CDTF">2026-08-03T12:00:00Z</dcterms:created>
  <dcterms:modified xsi:type="dcterms:W3CDTF">2026-08-04T13:05:40Z</dcterms:modified>
  <cp:category/>
</cp:coreProperties>
</file>